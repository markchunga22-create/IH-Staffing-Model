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iana\Desktop\"/>
    </mc:Choice>
  </mc:AlternateContent>
  <xr:revisionPtr revIDLastSave="0" documentId="13_ncr:1_{A0C60A34-2E67-415E-B147-F81437B87475}" xr6:coauthVersionLast="47" xr6:coauthVersionMax="47" xr10:uidLastSave="{00000000-0000-0000-0000-000000000000}"/>
  <bookViews>
    <workbookView xWindow="-110" yWindow="-110" windowWidth="25820" windowHeight="15500" firstSheet="1" activeTab="7" xr2:uid="{2A13C74F-1D23-462B-87DE-D445848DDCE4}"/>
  </bookViews>
  <sheets>
    <sheet name="README" sheetId="1" r:id="rId1"/>
    <sheet name="INPUTS" sheetId="3" r:id="rId2"/>
    <sheet name="UNIT_PARAMS" sheetId="4" r:id="rId3"/>
    <sheet name="BURNOUT_INDEX" sheetId="5" r:id="rId4"/>
    <sheet name="DEMAND_FORECAST" sheetId="6" r:id="rId5"/>
    <sheet name="COST_OPT" sheetId="7" r:id="rId6"/>
    <sheet name="SENSITIVITY" sheetId="8" r:id="rId7"/>
    <sheet name="DASHBOARD"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7" i="8" l="1"/>
  <c r="D36" i="8"/>
  <c r="D35" i="8"/>
  <c r="C6" i="7"/>
  <c r="A34" i="9"/>
  <c r="A33" i="9"/>
  <c r="D16" i="9"/>
  <c r="B16" i="9"/>
  <c r="D15" i="9"/>
  <c r="C15" i="9"/>
  <c r="B15" i="9"/>
  <c r="D14" i="9"/>
  <c r="C14" i="9"/>
  <c r="B14" i="9"/>
  <c r="D13" i="9"/>
  <c r="C13" i="9"/>
  <c r="B13" i="9"/>
  <c r="D12" i="9"/>
  <c r="C12" i="9"/>
  <c r="B12" i="9"/>
  <c r="D11" i="9"/>
  <c r="C11" i="9"/>
  <c r="B11" i="9"/>
  <c r="A7" i="9"/>
  <c r="B37" i="8"/>
  <c r="B36" i="8"/>
  <c r="B35" i="8"/>
  <c r="D31" i="8"/>
  <c r="B31" i="8"/>
  <c r="D30" i="8"/>
  <c r="B30" i="8"/>
  <c r="D29" i="8"/>
  <c r="B29" i="8"/>
  <c r="D28" i="8"/>
  <c r="B28" i="8"/>
  <c r="D27" i="8"/>
  <c r="B27" i="8"/>
  <c r="D26" i="8"/>
  <c r="B26" i="8"/>
  <c r="D25" i="8"/>
  <c r="B25" i="8"/>
  <c r="D24" i="8"/>
  <c r="B24" i="8"/>
  <c r="D23" i="8"/>
  <c r="B23" i="8"/>
  <c r="D22" i="8"/>
  <c r="B22" i="8"/>
  <c r="B18" i="8"/>
  <c r="B17" i="8"/>
  <c r="B16" i="8"/>
  <c r="B15" i="8"/>
  <c r="B14" i="8"/>
  <c r="B13" i="8"/>
  <c r="B12" i="8"/>
  <c r="B11" i="8"/>
  <c r="B10" i="8"/>
  <c r="B9" i="8"/>
  <c r="E35" i="7"/>
  <c r="B35" i="7"/>
  <c r="E34" i="7"/>
  <c r="B34" i="7"/>
  <c r="E33" i="7"/>
  <c r="B33" i="7"/>
  <c r="E32" i="7"/>
  <c r="B32" i="7"/>
  <c r="E31" i="7"/>
  <c r="B31" i="7"/>
  <c r="E30" i="7"/>
  <c r="B30" i="7"/>
  <c r="E29" i="7"/>
  <c r="B29" i="7"/>
  <c r="E28" i="7"/>
  <c r="B28" i="7"/>
  <c r="E27" i="7"/>
  <c r="B27" i="7"/>
  <c r="E26" i="7"/>
  <c r="B26" i="7"/>
  <c r="E25" i="7"/>
  <c r="B25" i="7"/>
  <c r="E24" i="7"/>
  <c r="B24" i="7"/>
  <c r="D17" i="7"/>
  <c r="D16" i="7"/>
  <c r="D15" i="7"/>
  <c r="C11" i="7"/>
  <c r="C10" i="7"/>
  <c r="C9" i="7"/>
  <c r="C8" i="7"/>
  <c r="C7" i="7"/>
  <c r="C5" i="7"/>
  <c r="C23" i="6"/>
  <c r="D22" i="6"/>
  <c r="C22" i="6"/>
  <c r="D21" i="6"/>
  <c r="C21" i="6"/>
  <c r="D20" i="6"/>
  <c r="C20" i="6"/>
  <c r="D19" i="6"/>
  <c r="C19" i="6"/>
  <c r="D18" i="6"/>
  <c r="C18" i="6"/>
  <c r="C17" i="6"/>
  <c r="C16" i="6"/>
  <c r="C15" i="6"/>
  <c r="C14" i="6"/>
  <c r="C13" i="6"/>
  <c r="C12" i="6"/>
  <c r="D11" i="6"/>
  <c r="C11" i="6"/>
  <c r="C7" i="6"/>
  <c r="C6" i="6"/>
  <c r="C5" i="6"/>
  <c r="C4" i="6"/>
  <c r="C16" i="5"/>
  <c r="B19" i="5"/>
  <c r="D18" i="5"/>
  <c r="C18" i="5"/>
  <c r="D17" i="5"/>
  <c r="C17" i="5"/>
  <c r="D15" i="5"/>
  <c r="C15" i="5"/>
  <c r="D14" i="5"/>
  <c r="C14" i="5"/>
  <c r="C9" i="5"/>
  <c r="C8" i="5"/>
  <c r="C7" i="5"/>
  <c r="C6" i="5"/>
  <c r="C5" i="5"/>
  <c r="C4" i="5"/>
  <c r="E17" i="7" l="1"/>
  <c r="E16" i="7"/>
  <c r="E15" i="7"/>
  <c r="C10" i="5"/>
  <c r="C9" i="8"/>
  <c r="C37" i="8"/>
  <c r="C36" i="8"/>
  <c r="C35" i="8"/>
  <c r="C22" i="8"/>
  <c r="C15" i="7"/>
  <c r="C16" i="7"/>
  <c r="E11" i="6"/>
  <c r="C28" i="8"/>
  <c r="C26" i="8"/>
  <c r="C24" i="8"/>
  <c r="C31" i="8"/>
  <c r="C29" i="8"/>
  <c r="C27" i="8"/>
  <c r="C23" i="8"/>
  <c r="C30" i="8"/>
  <c r="C25" i="8"/>
  <c r="C14" i="8"/>
  <c r="C13" i="8"/>
  <c r="C12" i="8"/>
  <c r="C15" i="8"/>
  <c r="C11" i="8"/>
  <c r="C18" i="8"/>
  <c r="C16" i="8"/>
  <c r="C10" i="8"/>
  <c r="C17" i="8"/>
  <c r="E19" i="6"/>
  <c r="E20" i="6"/>
  <c r="E18" i="6"/>
  <c r="D12" i="6"/>
  <c r="E12" i="6" s="1"/>
  <c r="D17" i="6"/>
  <c r="E17" i="6" s="1"/>
  <c r="D16" i="6"/>
  <c r="E16" i="6" s="1"/>
  <c r="D15" i="6"/>
  <c r="E15" i="6" s="1"/>
  <c r="D14" i="6"/>
  <c r="E14" i="6" s="1"/>
  <c r="F14" i="6" s="1"/>
  <c r="D13" i="6"/>
  <c r="E13" i="6" s="1"/>
  <c r="E22" i="6"/>
  <c r="E21" i="6"/>
  <c r="D16" i="5"/>
  <c r="C22" i="5" s="1"/>
  <c r="F15" i="7" l="1"/>
  <c r="F16" i="7"/>
  <c r="C17" i="7"/>
  <c r="F17" i="7" s="1"/>
  <c r="F11" i="6"/>
  <c r="E23" i="6"/>
  <c r="D23" i="6"/>
  <c r="F19" i="6"/>
  <c r="F20" i="6"/>
  <c r="F18" i="6"/>
  <c r="F12" i="6"/>
  <c r="F17" i="6"/>
  <c r="F16" i="6"/>
  <c r="F15" i="6"/>
  <c r="F22" i="6"/>
  <c r="F21" i="6"/>
  <c r="G14" i="6"/>
  <c r="F13" i="6"/>
  <c r="C23" i="5"/>
  <c r="F19" i="7" l="1"/>
  <c r="G18" i="6"/>
  <c r="G13" i="6"/>
  <c r="F23" i="6"/>
  <c r="G12" i="6"/>
  <c r="G17" i="6"/>
  <c r="G11" i="6"/>
  <c r="G15" i="6"/>
  <c r="G19" i="6"/>
  <c r="G16" i="6"/>
  <c r="G22" i="6"/>
  <c r="G21" i="6"/>
  <c r="H14" i="6"/>
  <c r="D27" i="9" s="1"/>
  <c r="C27" i="7"/>
  <c r="D27" i="7" s="1"/>
  <c r="G20" i="6"/>
  <c r="C24" i="5"/>
  <c r="C31" i="7" l="1"/>
  <c r="D31" i="7" s="1"/>
  <c r="H13" i="6"/>
  <c r="C27" i="9" s="1"/>
  <c r="C26" i="7"/>
  <c r="D26" i="7" s="1"/>
  <c r="E7" i="9"/>
  <c r="F20" i="7"/>
  <c r="H18" i="6"/>
  <c r="H27" i="9" s="1"/>
  <c r="C25" i="7"/>
  <c r="D25" i="7" s="1"/>
  <c r="C30" i="7"/>
  <c r="D30" i="7" s="1"/>
  <c r="H12" i="6"/>
  <c r="B27" i="9" s="1"/>
  <c r="H17" i="6"/>
  <c r="G27" i="9" s="1"/>
  <c r="C24" i="7"/>
  <c r="D24" i="7" s="1"/>
  <c r="G23" i="6"/>
  <c r="D7" i="9" s="1"/>
  <c r="H11" i="6"/>
  <c r="A27" i="9" s="1"/>
  <c r="C28" i="7"/>
  <c r="D28" i="7" s="1"/>
  <c r="H15" i="6"/>
  <c r="E27" i="9" s="1"/>
  <c r="C32" i="7"/>
  <c r="D32" i="7" s="1"/>
  <c r="H19" i="6"/>
  <c r="A29" i="9" s="1"/>
  <c r="C29" i="7"/>
  <c r="D29" i="7" s="1"/>
  <c r="H16" i="6"/>
  <c r="F27" i="9" s="1"/>
  <c r="C35" i="7"/>
  <c r="D35" i="7" s="1"/>
  <c r="H22" i="6"/>
  <c r="D29" i="9" s="1"/>
  <c r="C34" i="7"/>
  <c r="D34" i="7" s="1"/>
  <c r="H21" i="6"/>
  <c r="C29" i="9" s="1"/>
  <c r="F14" i="9"/>
  <c r="H20" i="6"/>
  <c r="B29" i="9" s="1"/>
  <c r="C33" i="7"/>
  <c r="D33" i="7" s="1"/>
  <c r="C25" i="5"/>
  <c r="B7" i="9"/>
  <c r="F18" i="9" l="1"/>
  <c r="F13" i="9"/>
  <c r="F12" i="9"/>
  <c r="F17" i="9"/>
  <c r="F11" i="9"/>
  <c r="C36" i="7"/>
  <c r="F15" i="9"/>
  <c r="F19" i="9"/>
  <c r="F16" i="9"/>
  <c r="F22" i="9"/>
  <c r="F21" i="9"/>
  <c r="G18" i="9"/>
  <c r="F31" i="7"/>
  <c r="H18" i="9" s="1"/>
  <c r="G14" i="9"/>
  <c r="F27" i="7"/>
  <c r="H14" i="9" s="1"/>
  <c r="F26" i="7"/>
  <c r="H13" i="9" s="1"/>
  <c r="G13" i="9"/>
  <c r="F20" i="9"/>
  <c r="C7" i="9"/>
  <c r="A32" i="9"/>
  <c r="G12" i="9" l="1"/>
  <c r="F25" i="7"/>
  <c r="H12" i="9" s="1"/>
  <c r="G17" i="9"/>
  <c r="F30" i="7"/>
  <c r="H17" i="9" s="1"/>
  <c r="G11" i="9"/>
  <c r="D36" i="7"/>
  <c r="F24" i="7"/>
  <c r="G15" i="9"/>
  <c r="F28" i="7"/>
  <c r="H15" i="9" s="1"/>
  <c r="G19" i="9"/>
  <c r="F32" i="7"/>
  <c r="H19" i="9" s="1"/>
  <c r="G16" i="9"/>
  <c r="F29" i="7"/>
  <c r="H16" i="9" s="1"/>
  <c r="F35" i="7"/>
  <c r="H22" i="9" s="1"/>
  <c r="G22" i="9"/>
  <c r="F34" i="7"/>
  <c r="H21" i="9" s="1"/>
  <c r="G21" i="9"/>
  <c r="G20" i="9"/>
  <c r="F33" i="7"/>
  <c r="H20" i="9" s="1"/>
  <c r="F23" i="9"/>
  <c r="F36" i="7" l="1"/>
  <c r="C41" i="7"/>
  <c r="C42" i="7"/>
  <c r="H11" i="9"/>
  <c r="H23" i="9" s="1"/>
  <c r="G23" i="9"/>
  <c r="C40" i="7" l="1"/>
  <c r="C39" i="7"/>
  <c r="C43" i="7"/>
  <c r="H7" i="9" s="1"/>
  <c r="G7" i="9"/>
  <c r="A35" i="9" l="1"/>
  <c r="F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Likuwenu</author>
  </authors>
  <commentList>
    <comment ref="F4" authorId="0" shapeId="0" xr:uid="{C35E8CAF-50EE-45D0-87E5-21967E164BB4}">
      <text>
        <r>
          <rPr>
            <b/>
            <sz val="9"/>
            <color indexed="81"/>
            <rFont val="Tahoma"/>
            <family val="2"/>
          </rPr>
          <t>Mark Chunga:</t>
        </r>
        <r>
          <rPr>
            <sz val="9"/>
            <color indexed="81"/>
            <rFont val="Tahoma"/>
            <family val="2"/>
          </rPr>
          <t xml:space="preserve">
Source: BCNU Nurses' Bargaining Association 2022–2025 Wage Grid — RN/RPN Level 5 top step (9-yr), eff. April 1 2022. https://www.bcnu.org/files/2022_2025_NBA_Wage_Grids.pdf</t>
        </r>
      </text>
    </comment>
    <comment ref="F5" authorId="0" shapeId="0" xr:uid="{0E78D66B-3E28-4812-B852-893691620F60}">
      <text>
        <r>
          <rPr>
            <b/>
            <sz val="9"/>
            <color indexed="81"/>
            <rFont val="Tahoma"/>
            <family val="2"/>
          </rPr>
          <t>Mark Chunga:</t>
        </r>
        <r>
          <rPr>
            <sz val="9"/>
            <color indexed="81"/>
            <rFont val="Tahoma"/>
            <family val="2"/>
          </rPr>
          <t xml:space="preserve">
Source: BCNU Nurses' Bargaining Association 2022–2025 Wage Grid — RN/RPN Level 6 top step (9-yr, critical care), eff. April 1 2022. https://www.bcnu.org/files/2022_2025_NBA_Wage_Grids.pdf</t>
        </r>
      </text>
    </comment>
    <comment ref="F6" authorId="0" shapeId="0" xr:uid="{E024D286-B229-41B9-A56D-74C9DBD535AF}">
      <text>
        <r>
          <rPr>
            <b/>
            <sz val="9"/>
            <color indexed="81"/>
            <rFont val="Tahoma"/>
            <family val="2"/>
          </rPr>
          <t>Mark Chunga:</t>
        </r>
        <r>
          <rPr>
            <sz val="9"/>
            <color indexed="81"/>
            <rFont val="Tahoma"/>
            <family val="2"/>
          </rPr>
          <t xml:space="preserve">
Source: BCNU Nurses' Bargaining Association 2022–2025 Wage Grid — RN/RPN Level 3 top step (9-yr), eff. April 1 2022. https://www.bcnu.org/files/2022_2025_NBA_Wage_Grids.pdf</t>
        </r>
      </text>
    </comment>
    <comment ref="F7" authorId="0" shapeId="0" xr:uid="{1EBBAEB1-024E-4809-A293-7994958D8F26}">
      <text>
        <r>
          <rPr>
            <b/>
            <sz val="9"/>
            <color indexed="81"/>
            <rFont val="Tahoma"/>
            <family val="2"/>
          </rPr>
          <t>Mark Chunga:</t>
        </r>
        <r>
          <rPr>
            <sz val="9"/>
            <color indexed="81"/>
            <rFont val="Tahoma"/>
            <family val="2"/>
          </rPr>
          <t xml:space="preserve">
Source: BCNU Nurses' Bargaining Association 2022–2025 Wage Grid — RN/RPN Level 4 top step (9-yr), eff. April 1 2022. https://www.bcnu.org/files/2022_2025_NBA_Wage_Grids.pdf</t>
        </r>
      </text>
    </comment>
    <comment ref="F8" authorId="0" shapeId="0" xr:uid="{C228CED3-CE2C-4E09-9E3A-525D85C15340}">
      <text>
        <r>
          <rPr>
            <b/>
            <sz val="9"/>
            <color indexed="81"/>
            <rFont val="Tahoma"/>
            <family val="2"/>
          </rPr>
          <t>Mark Chunga:</t>
        </r>
        <r>
          <rPr>
            <sz val="9"/>
            <color indexed="81"/>
            <rFont val="Tahoma"/>
            <family val="2"/>
          </rPr>
          <t xml:space="preserve">
Source: BCNU Nurses' Bargaining Association 2022–2025 Wage Grid — RN/RPN Level 4 top step (9-yr), eff. April 1 2022. https://www.bcnu.org/files/2022_2025_NBA_Wage_Grids.pdf</t>
        </r>
      </text>
    </comment>
  </commentList>
</comments>
</file>

<file path=xl/sharedStrings.xml><?xml version="1.0" encoding="utf-8"?>
<sst xmlns="http://schemas.openxmlformats.org/spreadsheetml/2006/main" count="301" uniqueCount="218">
  <si>
    <t>Project Title</t>
  </si>
  <si>
    <t>Predictive Staffing &amp; Burnout Risk Model</t>
  </si>
  <si>
    <t xml:space="preserve">Author </t>
  </si>
  <si>
    <t>Mark Chunga</t>
  </si>
  <si>
    <t>Credentials</t>
  </si>
  <si>
    <t>MBA (Finance), MSc (IS &amp; Business Analytics)</t>
  </si>
  <si>
    <t>Interior Health Authority — Portfolio Project</t>
  </si>
  <si>
    <t>Organization</t>
  </si>
  <si>
    <t xml:space="preserve">Version </t>
  </si>
  <si>
    <t>Date</t>
  </si>
  <si>
    <t>Tableau Public</t>
  </si>
  <si>
    <t>Purpose</t>
  </si>
  <si>
    <t>This model predicts: optimal staffing levels, burnout risk scores, and cost estimates for Interior Health unit types using patient volume, seasonal illness patterns, staff sick call rates, shift length, and unit acuity.</t>
  </si>
  <si>
    <t>TAB GUIDE</t>
  </si>
  <si>
    <t>DATA SOURCES</t>
  </si>
  <si>
    <t>CIHI Health Workforce Data 2024</t>
  </si>
  <si>
    <t>BC Ministry of Health Annual Service Plan 2024/25</t>
  </si>
  <si>
    <t>Maslach Burnout Inventory Framework</t>
  </si>
  <si>
    <t>Interior Health Annual Report</t>
  </si>
  <si>
    <t>BCNU Collective Agreement</t>
  </si>
  <si>
    <t>June 2026</t>
  </si>
  <si>
    <t>Bus. Intelligence Tool</t>
  </si>
  <si>
    <t>UNIT_PARAMS - Unit type reference table — do not edit</t>
  </si>
  <si>
    <t>INPUTS - All adjustable assumptions — change values here only</t>
  </si>
  <si>
    <t>BURNOUT_INDEX - Weighted burnout scoring model</t>
  </si>
  <si>
    <t>DEMAND_FORECAST - 12-month staffing and volume forecast</t>
  </si>
  <si>
    <t>COST_OPT - Daily and monthly cost optimization</t>
  </si>
  <si>
    <t>SENSITIVITY - How burnout score changes across input ranges</t>
  </si>
  <si>
    <t>DASHBOARD - Print-ready summary output</t>
  </si>
  <si>
    <t>INPUTS — Model Assumptions (Change values in Column C only)</t>
  </si>
  <si>
    <t>UNIT SELECTION</t>
  </si>
  <si>
    <t>Unit Type</t>
  </si>
  <si>
    <t>ED / ICU / MED / PSYCH / PEDS</t>
  </si>
  <si>
    <t>ED</t>
  </si>
  <si>
    <t>PATIENT VOLUME</t>
  </si>
  <si>
    <t>Daily Average Patients</t>
  </si>
  <si>
    <t>Number of patients per day</t>
  </si>
  <si>
    <t>Seasonal Illness Index</t>
  </si>
  <si>
    <t>Scale 1-10 (1=Low, 10=Peak)</t>
  </si>
  <si>
    <t>STAFFING INPUTS</t>
  </si>
  <si>
    <t>Staff Sick Call Rate</t>
  </si>
  <si>
    <t>Percentage calling in sick</t>
  </si>
  <si>
    <t>Shift Length (hours)</t>
  </si>
  <si>
    <t>Enter 8, 10, or 12 only</t>
  </si>
  <si>
    <t>Consecutive Shift Days</t>
  </si>
  <si>
    <t>Days worked in a row</t>
  </si>
  <si>
    <t>COST ASSUMPTIONS</t>
  </si>
  <si>
    <t>Hourly Wage Rate (CAD)</t>
  </si>
  <si>
    <t>Average hourly rate per staff</t>
  </si>
  <si>
    <t>Overtime Multiplier</t>
  </si>
  <si>
    <t>Overtime pay rate multiplier</t>
  </si>
  <si>
    <t>Working Days Per Month</t>
  </si>
  <si>
    <t>Standard working days in month</t>
  </si>
  <si>
    <t>MODEL SETTINGS</t>
  </si>
  <si>
    <t>Forecast Period (months)</t>
  </si>
  <si>
    <t>Number of months to forecast</t>
  </si>
  <si>
    <t>Burnout Alert Threshold</t>
  </si>
  <si>
    <t>Score above this triggers alert</t>
  </si>
  <si>
    <t>ICU</t>
  </si>
  <si>
    <t>MED</t>
  </si>
  <si>
    <t>PSYCH</t>
  </si>
  <si>
    <t>PEDS</t>
  </si>
  <si>
    <t>UNIT PARAMETERS — Reference Table (Do Not Edit)</t>
  </si>
  <si>
    <t>Unit Code</t>
  </si>
  <si>
    <t>Unit Name</t>
  </si>
  <si>
    <t>Base Staff (FTE)</t>
  </si>
  <si>
    <t>Acuity Weight</t>
  </si>
  <si>
    <t>Min Patient Ratio</t>
  </si>
  <si>
    <t>Hourly Cost (CAD)</t>
  </si>
  <si>
    <t>Max Consec Days</t>
  </si>
  <si>
    <t>Burnout Base Score</t>
  </si>
  <si>
    <t>Emergency Dept</t>
  </si>
  <si>
    <t>Intensive Care</t>
  </si>
  <si>
    <t>Medical / Surgical</t>
  </si>
  <si>
    <t>Psychiatric</t>
  </si>
  <si>
    <t>Pediatrics</t>
  </si>
  <si>
    <t>COLUMN DEFINITIONS</t>
  </si>
  <si>
    <t>Short code used in INPUTS tab dropdown</t>
  </si>
  <si>
    <t>Full descriptive name of the unit</t>
  </si>
  <si>
    <t>Baseline full time equivalent staff count</t>
  </si>
  <si>
    <t>Patient complexity multiplier — higher means more staff needed per patient</t>
  </si>
  <si>
    <t>Minimum patients per nurse — lower means more nurses needed</t>
  </si>
  <si>
    <t>Average hourly labour cost per staff member in Canadian dollars</t>
  </si>
  <si>
    <t>Maximum recommended consecutive shift days before burnout risk rises sharply</t>
  </si>
  <si>
    <t>Unit-specific baseline burnout vulnerability based on CIHI and Maslach framework</t>
  </si>
  <si>
    <t>BURNOUT INDEX — Weighted Scoring Model</t>
  </si>
  <si>
    <t>LIVE INPUTS (Auto-pulled from INPUTS tab)</t>
  </si>
  <si>
    <t>Unit Selected</t>
  </si>
  <si>
    <t>Daily Patient Volume</t>
  </si>
  <si>
    <t>Sick Call Rate</t>
  </si>
  <si>
    <t>BURNOUT SCORE COMPONENTS</t>
  </si>
  <si>
    <t>Component</t>
  </si>
  <si>
    <t>Weight</t>
  </si>
  <si>
    <t>Raw Score</t>
  </si>
  <si>
    <t>Weighted Score</t>
  </si>
  <si>
    <t>Patient Volume Load</t>
  </si>
  <si>
    <t>Seasonal Illness Pressure</t>
  </si>
  <si>
    <t>Sick Call Burden</t>
  </si>
  <si>
    <t>Shift Length Impact</t>
  </si>
  <si>
    <t>Consecutive Days Risk</t>
  </si>
  <si>
    <t>TOTAL WEIGHT</t>
  </si>
  <si>
    <t>FINAL BURNOUT SCORE</t>
  </si>
  <si>
    <t>Raw Burnout Score</t>
  </si>
  <si>
    <t>Acuity Adjustment</t>
  </si>
  <si>
    <t>Final Burnout Score</t>
  </si>
  <si>
    <t>Risk Level</t>
  </si>
  <si>
    <t>DEMAND FORECAST — 12-Month Staffing &amp; Volume Projection</t>
  </si>
  <si>
    <t>FORECAST ASSUMPTIONS (Auto-pulled from INPUTS)</t>
  </si>
  <si>
    <t>Base Daily Patient Volume</t>
  </si>
  <si>
    <t>12-MONTH FORECAST TABLE</t>
  </si>
  <si>
    <t>Month</t>
  </si>
  <si>
    <t>Seasonal Index</t>
  </si>
  <si>
    <t>Projected Volume</t>
  </si>
  <si>
    <t>Acuity Adjusted Volume</t>
  </si>
  <si>
    <t>Optimal Staff (FTE)</t>
  </si>
  <si>
    <t>Sick Call Buffer</t>
  </si>
  <si>
    <t>Total Staff Needed</t>
  </si>
  <si>
    <t>Burnout Flag</t>
  </si>
  <si>
    <t>January</t>
  </si>
  <si>
    <t>February</t>
  </si>
  <si>
    <t>March</t>
  </si>
  <si>
    <t>April</t>
  </si>
  <si>
    <t>May</t>
  </si>
  <si>
    <t>June</t>
  </si>
  <si>
    <t>July</t>
  </si>
  <si>
    <t>August</t>
  </si>
  <si>
    <t>September</t>
  </si>
  <si>
    <t>October</t>
  </si>
  <si>
    <t>November</t>
  </si>
  <si>
    <t>December</t>
  </si>
  <si>
    <t>ANNUAL TOTALS</t>
  </si>
  <si>
    <t>DISCLAIMER</t>
  </si>
  <si>
    <t>This model is developed solely for portfolio and demonstration purposes</t>
  </si>
  <si>
    <t>All numerical values including patient volumes, staffing ratios, cost rates, seasonal indices, and burnout scores are estimates based on publicly available benchmarks</t>
  </si>
  <si>
    <t>Sources include CIHI 2024 Health Workforce Data, BC Ministry of Health Annual Service Plan 2024/25, and Maslach Burnout Inventory academic framework</t>
  </si>
  <si>
    <t>This model does not represent actual Interior Health Authority data, operations, or policy</t>
  </si>
  <si>
    <t>Results should not be used for clinical or operational decision making without validation against real IH data</t>
  </si>
  <si>
    <t>Parameter values are estimates calibrated to published Canadian healthcare benchmarks and are intended to demonstrate analytical methodology rather than reflect actual operational data.</t>
  </si>
  <si>
    <t>⚠ NOTE: All data used in this model are estimates for demonstration purposes only. Values are based on published CIHI benchmarks, BC Ministry of Health reports, and general healthcare industry standards. This model is intended as a portfolio analytical framework and does not represent actual Interior Health Authority operational data.</t>
  </si>
  <si>
    <t>© Mark Chunga 2026 | MBA (Finance), MSc (IS &amp; Business Analytics) | DEMONSTRATION MODEL ONLY — Estimates based on CIHI 2024 and BC Ministry of Health benchmarks | Not actual Interior Health Authority data</t>
  </si>
  <si>
    <t>COST OPTIMIZATION — Daily &amp; Monthly Labour Cost Analysis</t>
  </si>
  <si>
    <t>COST INPUTS (Auto-pulled from INPUTS &amp; UNIT_PARAMS)</t>
  </si>
  <si>
    <t>Base Staff FTE</t>
  </si>
  <si>
    <t>DAILY COST MODEL</t>
  </si>
  <si>
    <t>Cost Component</t>
  </si>
  <si>
    <t>Formula Basis</t>
  </si>
  <si>
    <t>Staff Count</t>
  </si>
  <si>
    <t>Hours</t>
  </si>
  <si>
    <t>Rate (CAD)</t>
  </si>
  <si>
    <t>Daily Cost</t>
  </si>
  <si>
    <t>Regular Staff Cost</t>
  </si>
  <si>
    <t>Base staff × shift hours × wage</t>
  </si>
  <si>
    <t>Sick Call Coverage Cost</t>
  </si>
  <si>
    <t>Sick buffer × shift hours × wage</t>
  </si>
  <si>
    <t>Overtime Premium Cost</t>
  </si>
  <si>
    <t>Sick buffer × OT multiplier adjustment</t>
  </si>
  <si>
    <t>TOTAL DAILY COST</t>
  </si>
  <si>
    <t>COST PER PATIENT</t>
  </si>
  <si>
    <t>MONTHLY COST PROJECTION</t>
  </si>
  <si>
    <t>Working Days</t>
  </si>
  <si>
    <t>Monthly Cost</t>
  </si>
  <si>
    <t>COST SUMMARY METRICS</t>
  </si>
  <si>
    <t>Total Annual Labour Cost</t>
  </si>
  <si>
    <t>Average Monthly Cost</t>
  </si>
  <si>
    <t>Peak Month Cost</t>
  </si>
  <si>
    <t>Lowest Month Cost</t>
  </si>
  <si>
    <t>Cost Variance (Peak vs Low)</t>
  </si>
  <si>
    <t>SENSITIVITY ANALYSIS — Burnout Score Across Input Ranges</t>
  </si>
  <si>
    <t>WHAT IS SENSITIVITY ANALYSIS?</t>
  </si>
  <si>
    <t>This table shows how the Final Burnout Score changes as each input variable increases, while all other inputs remain fixed at baseline values from the INPUTS tab.</t>
  </si>
  <si>
    <t>SENSITIVITY TABLE 1 — Patient Volume vs Burnout Score</t>
  </si>
  <si>
    <t>Patient Volume</t>
  </si>
  <si>
    <t>Burnout Score</t>
  </si>
  <si>
    <t>SENSITIVITY TABLE 2 — Sick Call Rate vs Burnout Score</t>
  </si>
  <si>
    <t>Coverage Gap (FTE)</t>
  </si>
  <si>
    <t>SENSITIVITY TABLE 3 — Shift Length vs Burnout Score</t>
  </si>
  <si>
    <t>Shift Length</t>
  </si>
  <si>
    <t>Daily Cost Impact</t>
  </si>
  <si>
    <t>8 hours</t>
  </si>
  <si>
    <t>10 hours</t>
  </si>
  <si>
    <t>12 hours</t>
  </si>
  <si>
    <t>KEY FINDINGS FROM SENSITIVITY ANALYSIS</t>
  </si>
  <si>
    <t>1. Patient volume is the strongest driver of burnout risk — a doubling of volume from 60 to 120 patients significantly elevates risk level</t>
  </si>
  <si>
    <t>2. Sick call rates above 15% create critical coverage gaps requiring immediate float pool or agency staff intervention</t>
  </si>
  <si>
    <t>3. Shifting from 12-hour to 8-hour shifts reduces burnout score meaningfully but increases scheduling complexity and daily cost</t>
  </si>
  <si>
    <t>4. The ED unit shows highest sensitivity to volume changes due to its high acuity weight of 1.35</t>
  </si>
  <si>
    <t>5. Combined high volume + high sick call rate + 12-hour shifts creates compounding burnout risk exceeding 0.85 threshold</t>
  </si>
  <si>
    <t>INTERIOR HEALTH AUTHORITY</t>
  </si>
  <si>
    <t>Predictive Staffing &amp; Burnout Risk Model — Executive Summary</t>
  </si>
  <si>
    <t>Prepared by: Mark Chunga | MBA (Finance), MSc (IS &amp; Business Analytics) | June 2026</t>
  </si>
  <si>
    <t>CURRENT MODEL SNAPSHOT</t>
  </si>
  <si>
    <t>Unit</t>
  </si>
  <si>
    <t>Optimal FTE</t>
  </si>
  <si>
    <t>Annual Cost</t>
  </si>
  <si>
    <t>Cost Variance</t>
  </si>
  <si>
    <t>BURNOUT INDEX BREAKDOWN</t>
  </si>
  <si>
    <t>Weighted</t>
  </si>
  <si>
    <t>Seasonal Pressure</t>
  </si>
  <si>
    <t>TOTAL</t>
  </si>
  <si>
    <t>12-MONTH COST SUMMARY</t>
  </si>
  <si>
    <t>Staff Needed</t>
  </si>
  <si>
    <t>ANNUAL</t>
  </si>
  <si>
    <t>SURGE RISK CALENDAR</t>
  </si>
  <si>
    <t>Jan</t>
  </si>
  <si>
    <t>Feb</t>
  </si>
  <si>
    <t>Mar</t>
  </si>
  <si>
    <t>Apr</t>
  </si>
  <si>
    <t>Jun</t>
  </si>
  <si>
    <t>Jul</t>
  </si>
  <si>
    <t>Aug</t>
  </si>
  <si>
    <t>Sep</t>
  </si>
  <si>
    <t>Oct</t>
  </si>
  <si>
    <t>Nov</t>
  </si>
  <si>
    <t>Dec</t>
  </si>
  <si>
    <t>RECOMMENDATIONS</t>
  </si>
  <si>
    <t>📊 Model sensitivity analysis indicates patient volume is the primary burnout driver. ED unit enters HIGH RISK territory above 90 daily patients — proactive surge protocols recommended.</t>
  </si>
  <si>
    <t>DEMONSTRATION MODEL ONLY — All values are estimates based on CIHI 2024 benchmarks and BC Ministry of Health data. Not actual Interior Health Authority operational data.</t>
  </si>
  <si>
    <t>Unit Hourly Rate (CAD)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</si>
</sst>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0.0"/>
    <numFmt numFmtId="171" formatCode="&quot;$&quot;#,##0"/>
    <numFmt numFmtId="172" formatCode="0.0&quot;x&quot;"/>
    <numFmt numFmtId="173" formatCode="&quot;$&quot;#,##0.00"/>
  </numFmts>
  <fonts count="22" x14ac:knownFonts="1">
    <font>
      <sz val="11"/>
      <color theme="1"/>
      <name val="Aptos Narrow"/>
      <family val="2"/>
      <scheme val="minor"/>
    </font>
    <font>
      <b/>
      <sz val="11"/>
      <color theme="0"/>
      <name val="Aptos Narrow"/>
      <family val="2"/>
      <scheme val="minor"/>
    </font>
    <font>
      <b/>
      <sz val="11"/>
      <color theme="1"/>
      <name val="Aptos Narrow"/>
      <family val="2"/>
      <scheme val="minor"/>
    </font>
    <font>
      <b/>
      <sz val="14"/>
      <color theme="1"/>
      <name val="Aptos Narrow"/>
      <family val="2"/>
      <scheme val="minor"/>
    </font>
    <font>
      <sz val="11"/>
      <name val="Aptos Narrow"/>
      <family val="2"/>
      <scheme val="minor"/>
    </font>
    <font>
      <b/>
      <sz val="12"/>
      <color rgb="FFFFFFFF"/>
      <name val="Aptos Narrow"/>
      <family val="2"/>
      <scheme val="minor"/>
    </font>
    <font>
      <i/>
      <sz val="11"/>
      <color rgb="FF808080"/>
      <name val="Aptos Narrow"/>
      <family val="2"/>
      <scheme val="minor"/>
    </font>
    <font>
      <b/>
      <sz val="11"/>
      <color rgb="FF0000FF"/>
      <name val="Aptos Narrow"/>
      <family val="2"/>
      <scheme val="minor"/>
    </font>
    <font>
      <b/>
      <sz val="11"/>
      <color rgb="FFFFFFFF"/>
      <name val="Aptos Narrow"/>
      <family val="2"/>
      <scheme val="minor"/>
    </font>
    <font>
      <sz val="11"/>
      <color rgb="FF008000"/>
      <name val="Aptos Narrow"/>
      <family val="2"/>
      <scheme val="minor"/>
    </font>
    <font>
      <sz val="11"/>
      <color rgb="FF000000"/>
      <name val="Aptos Narrow"/>
      <family val="2"/>
      <scheme val="minor"/>
    </font>
    <font>
      <b/>
      <i/>
      <sz val="11"/>
      <color rgb="FF000000"/>
      <name val="Aptos Narrow"/>
      <family val="2"/>
      <scheme val="minor"/>
    </font>
    <font>
      <b/>
      <sz val="10"/>
      <color rgb="FF000000"/>
      <name val="Aptos Narrow"/>
      <family val="2"/>
      <scheme val="minor"/>
    </font>
    <font>
      <i/>
      <sz val="9"/>
      <color rgb="FF000000"/>
      <name val="Aptos Narrow"/>
      <family val="2"/>
      <scheme val="minor"/>
    </font>
    <font>
      <b/>
      <i/>
      <sz val="9"/>
      <color rgb="FF000000"/>
      <name val="Aptos Narrow"/>
      <family val="2"/>
      <scheme val="minor"/>
    </font>
    <font>
      <i/>
      <sz val="10"/>
      <color theme="1"/>
      <name val="Aptos Narrow"/>
      <family val="2"/>
      <scheme val="minor"/>
    </font>
    <font>
      <b/>
      <sz val="16"/>
      <color rgb="FFFFFFFF"/>
      <name val="Aptos Narrow"/>
      <family val="2"/>
      <scheme val="minor"/>
    </font>
    <font>
      <i/>
      <sz val="12"/>
      <color rgb="FFFFFFFF"/>
      <name val="Aptos Narrow"/>
      <family val="2"/>
      <scheme val="minor"/>
    </font>
    <font>
      <i/>
      <sz val="10"/>
      <color rgb="FF1F5C99"/>
      <name val="Aptos Narrow"/>
      <family val="2"/>
      <scheme val="minor"/>
    </font>
    <font>
      <i/>
      <sz val="10"/>
      <color rgb="FF000000"/>
      <name val="Aptos Narrow"/>
      <family val="2"/>
      <scheme val="minor"/>
    </font>
    <font>
      <sz val="9"/>
      <color indexed="81"/>
      <name val="Tahoma"/>
      <family val="2"/>
    </font>
    <font>
      <b/>
      <sz val="9"/>
      <color indexed="81"/>
      <name val="Tahoma"/>
      <family val="2"/>
    </font>
  </fonts>
  <fills count="16">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rgb="FF4D93D9"/>
        <bgColor indexed="64"/>
      </patternFill>
    </fill>
    <fill>
      <patternFill patternType="solid">
        <fgColor rgb="FFD9D9D9"/>
        <bgColor indexed="64"/>
      </patternFill>
    </fill>
    <fill>
      <patternFill patternType="solid">
        <fgColor rgb="FFFFFF00"/>
        <bgColor indexed="64"/>
      </patternFill>
    </fill>
    <fill>
      <patternFill patternType="solid">
        <fgColor rgb="FF404040"/>
        <bgColor indexed="64"/>
      </patternFill>
    </fill>
    <fill>
      <patternFill patternType="solid">
        <fgColor rgb="FFF2F2F2"/>
        <bgColor indexed="64"/>
      </patternFill>
    </fill>
    <fill>
      <patternFill patternType="solid">
        <fgColor rgb="FFFFFFFF"/>
        <bgColor indexed="64"/>
      </patternFill>
    </fill>
    <fill>
      <patternFill patternType="solid">
        <fgColor rgb="FFFF0000"/>
        <bgColor indexed="64"/>
      </patternFill>
    </fill>
    <fill>
      <patternFill patternType="solid">
        <fgColor rgb="FFFFE0E0"/>
        <bgColor indexed="64"/>
      </patternFill>
    </fill>
    <fill>
      <patternFill patternType="solid">
        <fgColor rgb="FFE2EFDA"/>
        <bgColor indexed="64"/>
      </patternFill>
    </fill>
    <fill>
      <patternFill patternType="solid">
        <fgColor rgb="FFDDEBF7"/>
        <bgColor indexed="64"/>
      </patternFill>
    </fill>
    <fill>
      <patternFill patternType="solid">
        <fgColor rgb="FF1F5C99"/>
        <bgColor indexed="64"/>
      </patternFill>
    </fill>
    <fill>
      <patternFill patternType="solid">
        <fgColor rgb="FFD6E4F0"/>
        <bgColor indexed="64"/>
      </patternFill>
    </fill>
  </fills>
  <borders count="5">
    <border>
      <left/>
      <right/>
      <top/>
      <bottom/>
      <diagonal/>
    </border>
    <border>
      <left/>
      <right/>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98">
    <xf numFmtId="0" fontId="0" fillId="0" borderId="0" xfId="0"/>
    <xf numFmtId="168" fontId="0" fillId="0" borderId="0" xfId="0" applyNumberFormat="1" applyAlignment="1">
      <alignment horizontal="left"/>
    </xf>
    <xf numFmtId="0" fontId="2" fillId="0" borderId="0" xfId="0" applyFont="1"/>
    <xf numFmtId="49" fontId="0" fillId="0" borderId="0" xfId="0" applyNumberFormat="1" applyAlignment="1">
      <alignment horizontal="left"/>
    </xf>
    <xf numFmtId="0" fontId="1" fillId="2" borderId="0" xfId="0" applyFont="1" applyFill="1"/>
    <xf numFmtId="0" fontId="2" fillId="3" borderId="0" xfId="0" applyFont="1" applyFill="1"/>
    <xf numFmtId="0" fontId="4" fillId="0" borderId="0" xfId="0" applyFont="1" applyFill="1" applyAlignment="1">
      <alignment wrapText="1"/>
    </xf>
    <xf numFmtId="0" fontId="5" fillId="4" borderId="0" xfId="0" applyFont="1" applyFill="1" applyAlignment="1">
      <alignment horizontal="left"/>
    </xf>
    <xf numFmtId="0" fontId="0" fillId="0" borderId="0" xfId="0" applyFont="1"/>
    <xf numFmtId="0" fontId="2" fillId="5" borderId="0" xfId="0" applyFont="1" applyFill="1"/>
    <xf numFmtId="0" fontId="0" fillId="5" borderId="0" xfId="0" applyFill="1"/>
    <xf numFmtId="0" fontId="6" fillId="0" borderId="0" xfId="0" applyFont="1"/>
    <xf numFmtId="0" fontId="7" fillId="6" borderId="0" xfId="0" applyFont="1" applyFill="1" applyAlignment="1">
      <alignment horizontal="center"/>
    </xf>
    <xf numFmtId="1" fontId="7" fillId="6" borderId="0" xfId="0" applyNumberFormat="1" applyFont="1" applyFill="1" applyAlignment="1">
      <alignment horizontal="center"/>
    </xf>
    <xf numFmtId="9" fontId="7" fillId="6" borderId="0" xfId="0" applyNumberFormat="1" applyFont="1" applyFill="1" applyAlignment="1">
      <alignment horizontal="center"/>
    </xf>
    <xf numFmtId="171" fontId="7" fillId="6" borderId="0" xfId="0" applyNumberFormat="1" applyFont="1" applyFill="1" applyAlignment="1">
      <alignment horizontal="center"/>
    </xf>
    <xf numFmtId="172" fontId="7" fillId="6" borderId="0" xfId="0" applyNumberFormat="1" applyFont="1" applyFill="1" applyAlignment="1">
      <alignment horizontal="center"/>
    </xf>
    <xf numFmtId="2" fontId="7" fillId="6" borderId="0" xfId="0" applyNumberFormat="1" applyFont="1" applyFill="1" applyAlignment="1">
      <alignment horizontal="center"/>
    </xf>
    <xf numFmtId="0" fontId="5" fillId="4" borderId="0" xfId="0" applyFont="1" applyFill="1" applyAlignment="1">
      <alignment horizontal="left"/>
    </xf>
    <xf numFmtId="0" fontId="8" fillId="7" borderId="0" xfId="0" applyFont="1" applyFill="1" applyAlignment="1">
      <alignment horizontal="center"/>
    </xf>
    <xf numFmtId="2" fontId="0" fillId="0" borderId="0" xfId="0" applyNumberFormat="1" applyFont="1" applyAlignment="1">
      <alignment horizontal="center"/>
    </xf>
    <xf numFmtId="0" fontId="8" fillId="7" borderId="2" xfId="0" applyFont="1" applyFill="1" applyBorder="1" applyAlignment="1">
      <alignment horizontal="center"/>
    </xf>
    <xf numFmtId="0" fontId="8" fillId="7" borderId="3" xfId="0" applyFont="1" applyFill="1" applyBorder="1" applyAlignment="1">
      <alignment horizontal="center"/>
    </xf>
    <xf numFmtId="0" fontId="0" fillId="9" borderId="3" xfId="0" applyFont="1" applyFill="1" applyBorder="1"/>
    <xf numFmtId="1" fontId="0" fillId="9" borderId="3" xfId="0" applyNumberFormat="1" applyFont="1" applyFill="1" applyBorder="1" applyAlignment="1">
      <alignment horizontal="center"/>
    </xf>
    <xf numFmtId="2" fontId="0" fillId="9" borderId="3" xfId="0" applyNumberFormat="1" applyFont="1" applyFill="1" applyBorder="1" applyAlignment="1">
      <alignment horizontal="center"/>
    </xf>
    <xf numFmtId="168" fontId="0" fillId="9" borderId="3" xfId="0" applyNumberFormat="1" applyFont="1" applyFill="1" applyBorder="1" applyAlignment="1">
      <alignment horizontal="center"/>
    </xf>
    <xf numFmtId="0" fontId="0" fillId="8" borderId="3" xfId="0" applyFont="1" applyFill="1" applyBorder="1"/>
    <xf numFmtId="1" fontId="0" fillId="8" borderId="3" xfId="0" applyNumberFormat="1" applyFont="1" applyFill="1" applyBorder="1" applyAlignment="1">
      <alignment horizontal="center"/>
    </xf>
    <xf numFmtId="2" fontId="0" fillId="8" borderId="3" xfId="0" applyNumberFormat="1" applyFont="1" applyFill="1" applyBorder="1" applyAlignment="1">
      <alignment horizontal="center"/>
    </xf>
    <xf numFmtId="168" fontId="0" fillId="8" borderId="3" xfId="0" applyNumberFormat="1" applyFont="1" applyFill="1" applyBorder="1" applyAlignment="1">
      <alignment horizontal="center"/>
    </xf>
    <xf numFmtId="0" fontId="9" fillId="6" borderId="0" xfId="0" applyFont="1" applyFill="1" applyAlignment="1">
      <alignment horizontal="center"/>
    </xf>
    <xf numFmtId="1" fontId="9" fillId="6" borderId="0" xfId="0" applyNumberFormat="1" applyFont="1" applyFill="1" applyAlignment="1">
      <alignment horizontal="center"/>
    </xf>
    <xf numFmtId="9" fontId="9" fillId="6" borderId="0" xfId="0" applyNumberFormat="1" applyFont="1" applyFill="1" applyAlignment="1">
      <alignment horizontal="center"/>
    </xf>
    <xf numFmtId="2" fontId="9" fillId="6" borderId="0" xfId="0" applyNumberFormat="1" applyFont="1" applyFill="1" applyAlignment="1">
      <alignment horizontal="center"/>
    </xf>
    <xf numFmtId="0" fontId="2" fillId="5" borderId="0" xfId="0" applyFont="1" applyFill="1" applyAlignment="1">
      <alignment horizontal="center"/>
    </xf>
    <xf numFmtId="2" fontId="2" fillId="5" borderId="0" xfId="0" applyNumberFormat="1" applyFont="1" applyFill="1" applyAlignment="1">
      <alignment horizontal="center"/>
    </xf>
    <xf numFmtId="2" fontId="2" fillId="6" borderId="0" xfId="0" applyNumberFormat="1" applyFont="1" applyFill="1" applyAlignment="1">
      <alignment horizontal="center"/>
    </xf>
    <xf numFmtId="0" fontId="2" fillId="0" borderId="0" xfId="0" applyFont="1" applyAlignment="1">
      <alignment horizontal="center"/>
    </xf>
    <xf numFmtId="168" fontId="9" fillId="6" borderId="0" xfId="0" applyNumberFormat="1" applyFont="1" applyFill="1" applyAlignment="1">
      <alignment horizontal="center"/>
    </xf>
    <xf numFmtId="1" fontId="2" fillId="5" borderId="0" xfId="0" applyNumberFormat="1" applyFont="1" applyFill="1" applyAlignment="1">
      <alignment horizontal="center"/>
    </xf>
    <xf numFmtId="0" fontId="8" fillId="7" borderId="3" xfId="0" applyFont="1" applyFill="1" applyBorder="1" applyAlignment="1">
      <alignment horizontal="center" wrapText="1"/>
    </xf>
    <xf numFmtId="0" fontId="0" fillId="0" borderId="3" xfId="0" applyFont="1" applyBorder="1"/>
    <xf numFmtId="2" fontId="0" fillId="0" borderId="3" xfId="0" applyNumberFormat="1" applyFont="1" applyBorder="1" applyAlignment="1">
      <alignment horizontal="center"/>
    </xf>
    <xf numFmtId="1" fontId="0" fillId="0" borderId="3" xfId="0" applyNumberFormat="1" applyFont="1" applyBorder="1" applyAlignment="1">
      <alignment horizontal="center"/>
    </xf>
    <xf numFmtId="0" fontId="0" fillId="0" borderId="3" xfId="0" applyFont="1" applyBorder="1" applyAlignment="1">
      <alignment horizontal="center"/>
    </xf>
    <xf numFmtId="0" fontId="8" fillId="10" borderId="0" xfId="0" applyFont="1" applyFill="1"/>
    <xf numFmtId="0" fontId="10" fillId="11" borderId="0" xfId="0" applyFont="1" applyFill="1"/>
    <xf numFmtId="0" fontId="10" fillId="11" borderId="0" xfId="0" applyFont="1" applyFill="1" applyAlignment="1">
      <alignment wrapText="1"/>
    </xf>
    <xf numFmtId="0" fontId="11" fillId="11" borderId="0" xfId="0" applyFont="1" applyFill="1" applyAlignment="1">
      <alignment wrapText="1"/>
    </xf>
    <xf numFmtId="0" fontId="12" fillId="6" borderId="0" xfId="0" applyFont="1" applyFill="1" applyAlignment="1">
      <alignment horizontal="left" vertical="center" wrapText="1"/>
    </xf>
    <xf numFmtId="0" fontId="12" fillId="6" borderId="1" xfId="0" applyFont="1" applyFill="1" applyBorder="1" applyAlignment="1">
      <alignment horizontal="left" vertical="center" wrapText="1"/>
    </xf>
    <xf numFmtId="0" fontId="13" fillId="5" borderId="0" xfId="0" applyFont="1" applyFill="1" applyAlignment="1">
      <alignment horizontal="center" vertical="center" wrapText="1"/>
    </xf>
    <xf numFmtId="0" fontId="12" fillId="6" borderId="0" xfId="0" applyFont="1" applyFill="1" applyAlignment="1">
      <alignment horizontal="left" vertical="center" wrapText="1"/>
    </xf>
    <xf numFmtId="172" fontId="9" fillId="6" borderId="0" xfId="0" applyNumberFormat="1" applyFont="1" applyFill="1" applyAlignment="1">
      <alignment horizontal="center"/>
    </xf>
    <xf numFmtId="173" fontId="0" fillId="0" borderId="0" xfId="0" applyNumberFormat="1" applyFont="1" applyAlignment="1">
      <alignment horizontal="center"/>
    </xf>
    <xf numFmtId="173" fontId="2" fillId="5" borderId="0" xfId="0" applyNumberFormat="1" applyFont="1" applyFill="1" applyAlignment="1">
      <alignment horizontal="center"/>
    </xf>
    <xf numFmtId="171" fontId="2" fillId="5" borderId="0" xfId="0" applyNumberFormat="1" applyFont="1" applyFill="1" applyAlignment="1">
      <alignment horizontal="center"/>
    </xf>
    <xf numFmtId="173" fontId="2" fillId="6" borderId="0" xfId="0" applyNumberFormat="1" applyFont="1" applyFill="1" applyAlignment="1">
      <alignment horizontal="center"/>
    </xf>
    <xf numFmtId="173" fontId="0" fillId="11" borderId="0" xfId="0" applyNumberFormat="1" applyFont="1" applyFill="1" applyAlignment="1">
      <alignment horizontal="center"/>
    </xf>
    <xf numFmtId="173" fontId="0" fillId="12" borderId="0" xfId="0" applyNumberFormat="1" applyFont="1" applyFill="1" applyAlignment="1">
      <alignment horizontal="center"/>
    </xf>
    <xf numFmtId="0" fontId="6" fillId="0" borderId="3" xfId="0" applyFont="1" applyBorder="1"/>
    <xf numFmtId="171" fontId="0" fillId="0" borderId="3" xfId="0" applyNumberFormat="1" applyFont="1" applyBorder="1" applyAlignment="1">
      <alignment horizontal="center"/>
    </xf>
    <xf numFmtId="173" fontId="0" fillId="0" borderId="3" xfId="0" applyNumberFormat="1" applyFont="1" applyBorder="1" applyAlignment="1">
      <alignment horizontal="center"/>
    </xf>
    <xf numFmtId="0" fontId="2" fillId="5" borderId="3" xfId="0" applyFont="1" applyFill="1" applyBorder="1"/>
    <xf numFmtId="0" fontId="14" fillId="5" borderId="0" xfId="0" applyFont="1" applyFill="1" applyAlignment="1">
      <alignment horizontal="center" vertical="center" wrapText="1"/>
    </xf>
    <xf numFmtId="0" fontId="15" fillId="0" borderId="0" xfId="0" applyFont="1" applyAlignment="1">
      <alignment wrapText="1"/>
    </xf>
    <xf numFmtId="1" fontId="0" fillId="13" borderId="3" xfId="0" applyNumberFormat="1" applyFont="1" applyFill="1" applyBorder="1" applyAlignment="1">
      <alignment horizontal="center"/>
    </xf>
    <xf numFmtId="2" fontId="0" fillId="13" borderId="3" xfId="0" applyNumberFormat="1" applyFont="1" applyFill="1" applyBorder="1" applyAlignment="1">
      <alignment horizontal="center"/>
    </xf>
    <xf numFmtId="0" fontId="0" fillId="13" borderId="3" xfId="0" applyFont="1" applyFill="1" applyBorder="1" applyAlignment="1">
      <alignment horizontal="center"/>
    </xf>
    <xf numFmtId="9" fontId="0" fillId="0" borderId="3" xfId="0" applyNumberFormat="1" applyFont="1" applyBorder="1" applyAlignment="1">
      <alignment horizontal="center"/>
    </xf>
    <xf numFmtId="9" fontId="0" fillId="13" borderId="3" xfId="0" applyNumberFormat="1" applyFont="1" applyFill="1" applyBorder="1" applyAlignment="1">
      <alignment horizontal="center"/>
    </xf>
    <xf numFmtId="171" fontId="0" fillId="13" borderId="3" xfId="0" applyNumberFormat="1" applyFont="1" applyFill="1" applyBorder="1" applyAlignment="1">
      <alignment horizontal="center"/>
    </xf>
    <xf numFmtId="0" fontId="0" fillId="9" borderId="0" xfId="0" applyFont="1" applyFill="1" applyAlignment="1">
      <alignment horizontal="center" vertical="center" wrapText="1"/>
    </xf>
    <xf numFmtId="0" fontId="0" fillId="8" borderId="0" xfId="0" applyFont="1" applyFill="1" applyAlignment="1">
      <alignment horizontal="center" vertical="center" wrapText="1"/>
    </xf>
    <xf numFmtId="0" fontId="16" fillId="14" borderId="0" xfId="0" applyFont="1" applyFill="1" applyAlignment="1">
      <alignment horizontal="center" vertical="center"/>
    </xf>
    <xf numFmtId="0" fontId="17" fillId="14" borderId="0" xfId="0" applyFont="1" applyFill="1" applyAlignment="1">
      <alignment horizontal="center" vertical="center"/>
    </xf>
    <xf numFmtId="0" fontId="18" fillId="15" borderId="0" xfId="0" applyFont="1" applyFill="1" applyAlignment="1">
      <alignment horizontal="center" vertical="center"/>
    </xf>
    <xf numFmtId="0" fontId="2" fillId="5" borderId="0" xfId="0" applyFont="1" applyFill="1" applyAlignment="1">
      <alignment horizontal="left" vertical="center"/>
    </xf>
    <xf numFmtId="0" fontId="0" fillId="0" borderId="0" xfId="0" applyFont="1" applyAlignment="1">
      <alignment horizontal="left" vertical="center" wrapText="1"/>
    </xf>
    <xf numFmtId="0" fontId="0" fillId="8" borderId="0" xfId="0" applyFont="1" applyFill="1" applyAlignment="1">
      <alignment horizontal="left" vertical="center" wrapText="1"/>
    </xf>
    <xf numFmtId="0" fontId="0" fillId="9" borderId="0" xfId="0" applyFont="1" applyFill="1" applyAlignment="1">
      <alignment horizontal="left" vertical="center" wrapText="1"/>
    </xf>
    <xf numFmtId="0" fontId="19" fillId="6" borderId="0" xfId="0" applyFont="1" applyFill="1" applyAlignment="1">
      <alignment horizontal="left" vertical="center" wrapText="1"/>
    </xf>
    <xf numFmtId="0" fontId="3" fillId="0" borderId="3" xfId="0" applyFont="1" applyBorder="1" applyAlignment="1">
      <alignment horizontal="center"/>
    </xf>
    <xf numFmtId="2" fontId="3" fillId="0" borderId="3" xfId="0" applyNumberFormat="1" applyFont="1" applyBorder="1" applyAlignment="1">
      <alignment horizontal="center"/>
    </xf>
    <xf numFmtId="1" fontId="3" fillId="0" borderId="3" xfId="0" applyNumberFormat="1" applyFont="1" applyBorder="1" applyAlignment="1">
      <alignment horizontal="center"/>
    </xf>
    <xf numFmtId="171" fontId="3" fillId="0" borderId="3" xfId="0" applyNumberFormat="1" applyFont="1" applyBorder="1" applyAlignment="1">
      <alignment horizontal="center"/>
    </xf>
    <xf numFmtId="2" fontId="2" fillId="5" borderId="3" xfId="0" applyNumberFormat="1" applyFont="1" applyFill="1" applyBorder="1" applyAlignment="1">
      <alignment horizontal="center"/>
    </xf>
    <xf numFmtId="0" fontId="0" fillId="5" borderId="3" xfId="0" applyFill="1" applyBorder="1"/>
    <xf numFmtId="2" fontId="0" fillId="0" borderId="2" xfId="0" applyNumberFormat="1" applyFont="1" applyBorder="1" applyAlignment="1">
      <alignment horizontal="center"/>
    </xf>
    <xf numFmtId="2" fontId="2" fillId="5" borderId="2" xfId="0" applyNumberFormat="1" applyFont="1" applyFill="1" applyBorder="1" applyAlignment="1">
      <alignment horizontal="center"/>
    </xf>
    <xf numFmtId="1" fontId="2" fillId="5" borderId="3" xfId="0" applyNumberFormat="1" applyFont="1" applyFill="1" applyBorder="1" applyAlignment="1">
      <alignment horizontal="center"/>
    </xf>
    <xf numFmtId="171" fontId="2" fillId="5" borderId="3" xfId="0" applyNumberFormat="1" applyFont="1" applyFill="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173" fontId="0" fillId="9" borderId="3" xfId="0" applyNumberFormat="1" applyFont="1" applyFill="1" applyBorder="1" applyAlignment="1">
      <alignment horizontal="center"/>
    </xf>
    <xf numFmtId="173" fontId="0" fillId="8" borderId="3" xfId="0" applyNumberFormat="1" applyFont="1" applyFill="1" applyBorder="1" applyAlignment="1">
      <alignment horizontal="center"/>
    </xf>
    <xf numFmtId="173" fontId="9" fillId="6" borderId="0" xfId="0" applyNumberFormat="1" applyFont="1" applyFill="1" applyAlignment="1">
      <alignment horizontal="center"/>
    </xf>
  </cellXfs>
  <cellStyles count="1">
    <cellStyle name="Normal" xfId="0" builtinId="0"/>
  </cellStyles>
  <dxfs count="27">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FFFFFF"/>
      </font>
      <fill>
        <patternFill patternType="solid">
          <fgColor indexed="64"/>
          <bgColor rgb="FF00B050"/>
        </patternFill>
      </fill>
    </dxf>
    <dxf>
      <font>
        <color rgb="FF000000"/>
      </font>
      <fill>
        <patternFill patternType="solid">
          <fgColor indexed="64"/>
          <bgColor rgb="FFFFA5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000000"/>
      </font>
      <fill>
        <patternFill patternType="solid">
          <fgColor indexed="64"/>
          <bgColor rgb="FFFFA5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000000"/>
      </font>
      <fill>
        <patternFill patternType="solid">
          <fgColor indexed="64"/>
          <bgColor rgb="FFFFA5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000000"/>
      </font>
      <fill>
        <patternFill patternType="solid">
          <fgColor indexed="64"/>
          <bgColor rgb="FFFFA5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000000"/>
      </font>
      <fill>
        <patternFill patternType="solid">
          <fgColor indexed="64"/>
          <bgColor rgb="FFFFA5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000000"/>
      </font>
      <fill>
        <patternFill patternType="solid">
          <fgColor indexed="64"/>
          <bgColor rgb="FFFFA500"/>
        </patternFill>
      </fill>
    </dxf>
    <dxf>
      <font>
        <color rgb="FFFFFFFF"/>
      </font>
      <fill>
        <patternFill patternType="solid">
          <fgColor indexed="64"/>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8FB30AA-FA0B-4F5A-80CB-13E4AAF1986B}">
  <we:reference id="WA200009404" version="1.0.0.8" store="Omex" storeType="OMEX"/>
  <we:alternateReferences>
    <we:reference id="WA200009404" version="1.0.0.8" store="WA200009404" storeType="OMEX"/>
  </we:alternateReferences>
  <we:properties>
    <we:property name="claude.fileId" value="&quot;00f461f5-d38c-4945-ab42-1b3ad83ca8f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FD804-ECA8-4C75-A249-394937E30292}">
  <dimension ref="A1:B37"/>
  <sheetViews>
    <sheetView zoomScale="80" zoomScaleNormal="80" workbookViewId="0">
      <selection sqref="A1:H1"/>
    </sheetView>
  </sheetViews>
  <sheetFormatPr defaultRowHeight="14.5" x14ac:dyDescent="0.35"/>
  <cols>
    <col min="1" max="1" width="20.6328125" customWidth="1"/>
    <col min="2" max="2" width="60.6328125" customWidth="1"/>
  </cols>
  <sheetData>
    <row r="1" spans="1:2" x14ac:dyDescent="0.35">
      <c r="A1" s="4" t="s">
        <v>0</v>
      </c>
      <c r="B1" t="s">
        <v>1</v>
      </c>
    </row>
    <row r="2" spans="1:2" x14ac:dyDescent="0.35">
      <c r="A2" s="4" t="s">
        <v>2</v>
      </c>
      <c r="B2" t="s">
        <v>3</v>
      </c>
    </row>
    <row r="3" spans="1:2" x14ac:dyDescent="0.35">
      <c r="A3" s="4" t="s">
        <v>4</v>
      </c>
      <c r="B3" t="s">
        <v>5</v>
      </c>
    </row>
    <row r="4" spans="1:2" x14ac:dyDescent="0.35">
      <c r="A4" s="4" t="s">
        <v>7</v>
      </c>
      <c r="B4" t="s">
        <v>6</v>
      </c>
    </row>
    <row r="5" spans="1:2" x14ac:dyDescent="0.35">
      <c r="A5" s="4" t="s">
        <v>8</v>
      </c>
      <c r="B5" s="1">
        <v>1</v>
      </c>
    </row>
    <row r="6" spans="1:2" x14ac:dyDescent="0.35">
      <c r="A6" s="4" t="s">
        <v>9</v>
      </c>
      <c r="B6" s="3" t="s">
        <v>20</v>
      </c>
    </row>
    <row r="7" spans="1:2" x14ac:dyDescent="0.35">
      <c r="A7" s="4" t="s">
        <v>21</v>
      </c>
      <c r="B7" t="s">
        <v>10</v>
      </c>
    </row>
    <row r="8" spans="1:2" x14ac:dyDescent="0.35">
      <c r="A8" s="4"/>
    </row>
    <row r="9" spans="1:2" x14ac:dyDescent="0.35">
      <c r="A9" s="4" t="s">
        <v>11</v>
      </c>
      <c r="B9" s="5"/>
    </row>
    <row r="10" spans="1:2" ht="80" customHeight="1" x14ac:dyDescent="0.35">
      <c r="A10" s="4"/>
      <c r="B10" s="6" t="s">
        <v>12</v>
      </c>
    </row>
    <row r="11" spans="1:2" x14ac:dyDescent="0.35">
      <c r="A11" s="4"/>
    </row>
    <row r="12" spans="1:2" x14ac:dyDescent="0.35">
      <c r="A12" s="4" t="s">
        <v>13</v>
      </c>
      <c r="B12" s="5"/>
    </row>
    <row r="13" spans="1:2" x14ac:dyDescent="0.35">
      <c r="A13" s="4"/>
      <c r="B13" t="s">
        <v>23</v>
      </c>
    </row>
    <row r="14" spans="1:2" x14ac:dyDescent="0.35">
      <c r="A14" s="4"/>
      <c r="B14" t="s">
        <v>22</v>
      </c>
    </row>
    <row r="15" spans="1:2" x14ac:dyDescent="0.35">
      <c r="A15" s="4"/>
      <c r="B15" t="s">
        <v>24</v>
      </c>
    </row>
    <row r="16" spans="1:2" x14ac:dyDescent="0.35">
      <c r="A16" s="4"/>
      <c r="B16" t="s">
        <v>25</v>
      </c>
    </row>
    <row r="17" spans="1:2" x14ac:dyDescent="0.35">
      <c r="A17" s="4"/>
      <c r="B17" t="s">
        <v>26</v>
      </c>
    </row>
    <row r="18" spans="1:2" x14ac:dyDescent="0.35">
      <c r="A18" s="4"/>
      <c r="B18" t="s">
        <v>27</v>
      </c>
    </row>
    <row r="19" spans="1:2" x14ac:dyDescent="0.35">
      <c r="A19" s="4"/>
      <c r="B19" t="s">
        <v>28</v>
      </c>
    </row>
    <row r="20" spans="1:2" x14ac:dyDescent="0.35">
      <c r="A20" s="4"/>
    </row>
    <row r="21" spans="1:2" x14ac:dyDescent="0.35">
      <c r="A21" s="4" t="s">
        <v>14</v>
      </c>
      <c r="B21" s="5"/>
    </row>
    <row r="22" spans="1:2" x14ac:dyDescent="0.35">
      <c r="A22" s="4"/>
      <c r="B22" t="s">
        <v>15</v>
      </c>
    </row>
    <row r="23" spans="1:2" x14ac:dyDescent="0.35">
      <c r="A23" s="4"/>
      <c r="B23" t="s">
        <v>16</v>
      </c>
    </row>
    <row r="24" spans="1:2" x14ac:dyDescent="0.35">
      <c r="A24" s="4"/>
      <c r="B24" t="s">
        <v>17</v>
      </c>
    </row>
    <row r="25" spans="1:2" x14ac:dyDescent="0.35">
      <c r="A25" s="4"/>
      <c r="B25" t="s">
        <v>18</v>
      </c>
    </row>
    <row r="26" spans="1:2" x14ac:dyDescent="0.35">
      <c r="A26" s="4"/>
      <c r="B26" t="s">
        <v>19</v>
      </c>
    </row>
    <row r="28" spans="1:2" x14ac:dyDescent="0.35">
      <c r="A28" s="46" t="s">
        <v>131</v>
      </c>
      <c r="B28" s="46"/>
    </row>
    <row r="29" spans="1:2" x14ac:dyDescent="0.35">
      <c r="A29" s="47"/>
      <c r="B29" s="48" t="s">
        <v>132</v>
      </c>
    </row>
    <row r="30" spans="1:2" ht="43.5" x14ac:dyDescent="0.35">
      <c r="A30" s="47"/>
      <c r="B30" s="48" t="s">
        <v>133</v>
      </c>
    </row>
    <row r="31" spans="1:2" ht="43.5" x14ac:dyDescent="0.35">
      <c r="A31" s="47"/>
      <c r="B31" s="48" t="s">
        <v>134</v>
      </c>
    </row>
    <row r="32" spans="1:2" ht="29" x14ac:dyDescent="0.35">
      <c r="A32" s="47"/>
      <c r="B32" s="48" t="s">
        <v>135</v>
      </c>
    </row>
    <row r="33" spans="1:2" ht="29" x14ac:dyDescent="0.35">
      <c r="A33" s="47"/>
      <c r="B33" s="48" t="s">
        <v>136</v>
      </c>
    </row>
    <row r="34" spans="1:2" ht="43.5" x14ac:dyDescent="0.35">
      <c r="A34" s="47"/>
      <c r="B34" s="49" t="s">
        <v>137</v>
      </c>
    </row>
    <row r="37" spans="1:2" ht="28" customHeight="1" x14ac:dyDescent="0.35">
      <c r="A37" s="52" t="s">
        <v>139</v>
      </c>
      <c r="B37" s="52"/>
    </row>
  </sheetData>
  <mergeCells count="1">
    <mergeCell ref="A37:B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45DEC-E08E-47F9-8495-093FC6EA4A14}">
  <dimension ref="A1:C25"/>
  <sheetViews>
    <sheetView workbookViewId="0">
      <selection activeCell="F10" sqref="F10"/>
    </sheetView>
  </sheetViews>
  <sheetFormatPr defaultRowHeight="14.5" x14ac:dyDescent="0.35"/>
  <cols>
    <col min="1" max="1" width="30" customWidth="1"/>
    <col min="2" max="2" width="36.36328125" customWidth="1"/>
    <col min="3" max="3" width="16.36328125" customWidth="1"/>
  </cols>
  <sheetData>
    <row r="1" spans="1:3" ht="24" customHeight="1" x14ac:dyDescent="0.4">
      <c r="A1" s="18" t="s">
        <v>29</v>
      </c>
      <c r="B1" s="18"/>
      <c r="C1" s="18"/>
    </row>
    <row r="2" spans="1:3" ht="75" customHeight="1" x14ac:dyDescent="0.35">
      <c r="A2" s="50" t="s">
        <v>138</v>
      </c>
      <c r="B2" s="50"/>
      <c r="C2" s="50"/>
    </row>
    <row r="3" spans="1:3" x14ac:dyDescent="0.35">
      <c r="A3" s="9" t="s">
        <v>30</v>
      </c>
      <c r="B3" s="10"/>
      <c r="C3" s="10"/>
    </row>
    <row r="4" spans="1:3" x14ac:dyDescent="0.35">
      <c r="A4" s="8" t="s">
        <v>31</v>
      </c>
      <c r="B4" s="11" t="s">
        <v>32</v>
      </c>
      <c r="C4" s="12" t="s">
        <v>33</v>
      </c>
    </row>
    <row r="6" spans="1:3" x14ac:dyDescent="0.35">
      <c r="A6" s="9" t="s">
        <v>34</v>
      </c>
      <c r="B6" s="10"/>
      <c r="C6" s="10"/>
    </row>
    <row r="7" spans="1:3" x14ac:dyDescent="0.35">
      <c r="A7" s="8" t="s">
        <v>35</v>
      </c>
      <c r="B7" s="11" t="s">
        <v>36</v>
      </c>
      <c r="C7" s="13">
        <v>68</v>
      </c>
    </row>
    <row r="8" spans="1:3" x14ac:dyDescent="0.35">
      <c r="A8" s="8" t="s">
        <v>37</v>
      </c>
      <c r="B8" s="11" t="s">
        <v>38</v>
      </c>
      <c r="C8" s="13">
        <v>6</v>
      </c>
    </row>
    <row r="10" spans="1:3" x14ac:dyDescent="0.35">
      <c r="A10" s="9" t="s">
        <v>39</v>
      </c>
      <c r="B10" s="10"/>
      <c r="C10" s="10"/>
    </row>
    <row r="11" spans="1:3" x14ac:dyDescent="0.35">
      <c r="A11" s="8" t="s">
        <v>40</v>
      </c>
      <c r="B11" s="11" t="s">
        <v>41</v>
      </c>
      <c r="C11" s="14">
        <v>0.09</v>
      </c>
    </row>
    <row r="12" spans="1:3" x14ac:dyDescent="0.35">
      <c r="A12" s="8" t="s">
        <v>42</v>
      </c>
      <c r="B12" s="11" t="s">
        <v>43</v>
      </c>
      <c r="C12" s="13">
        <v>12</v>
      </c>
    </row>
    <row r="13" spans="1:3" x14ac:dyDescent="0.35">
      <c r="A13" s="8" t="s">
        <v>44</v>
      </c>
      <c r="B13" s="11" t="s">
        <v>45</v>
      </c>
      <c r="C13" s="13">
        <v>4</v>
      </c>
    </row>
    <row r="15" spans="1:3" x14ac:dyDescent="0.35">
      <c r="A15" s="9" t="s">
        <v>46</v>
      </c>
      <c r="B15" s="10"/>
      <c r="C15" s="10"/>
    </row>
    <row r="16" spans="1:3" x14ac:dyDescent="0.35">
      <c r="A16" s="8" t="s">
        <v>47</v>
      </c>
      <c r="B16" s="11" t="s">
        <v>48</v>
      </c>
      <c r="C16" s="15">
        <v>62</v>
      </c>
    </row>
    <row r="17" spans="1:3" x14ac:dyDescent="0.35">
      <c r="A17" s="8" t="s">
        <v>49</v>
      </c>
      <c r="B17" s="11" t="s">
        <v>50</v>
      </c>
      <c r="C17" s="16">
        <v>1.5</v>
      </c>
    </row>
    <row r="18" spans="1:3" x14ac:dyDescent="0.35">
      <c r="A18" s="8" t="s">
        <v>51</v>
      </c>
      <c r="B18" s="11" t="s">
        <v>52</v>
      </c>
      <c r="C18" s="13">
        <v>30</v>
      </c>
    </row>
    <row r="20" spans="1:3" x14ac:dyDescent="0.35">
      <c r="A20" s="9" t="s">
        <v>53</v>
      </c>
      <c r="B20" s="10"/>
      <c r="C20" s="10"/>
    </row>
    <row r="21" spans="1:3" x14ac:dyDescent="0.35">
      <c r="A21" s="8" t="s">
        <v>54</v>
      </c>
      <c r="B21" s="11" t="s">
        <v>55</v>
      </c>
      <c r="C21" s="13">
        <v>12</v>
      </c>
    </row>
    <row r="22" spans="1:3" x14ac:dyDescent="0.35">
      <c r="A22" s="8" t="s">
        <v>56</v>
      </c>
      <c r="B22" s="11" t="s">
        <v>57</v>
      </c>
      <c r="C22" s="17">
        <v>0.7</v>
      </c>
    </row>
    <row r="25" spans="1:3" ht="28" customHeight="1" x14ac:dyDescent="0.35">
      <c r="A25" s="52" t="s">
        <v>139</v>
      </c>
      <c r="B25" s="52"/>
      <c r="C25" s="52"/>
    </row>
  </sheetData>
  <mergeCells count="3">
    <mergeCell ref="A1:C1"/>
    <mergeCell ref="A2:C2"/>
    <mergeCell ref="A25:C25"/>
  </mergeCells>
  <dataValidations count="1">
    <dataValidation type="list" allowBlank="1" showInputMessage="1" showErrorMessage="1" sqref="C4" xr:uid="{11649767-061A-4E0D-8224-7990A6857533}">
      <formula1>"ED,ICU,MED,PSYCH,PEDS"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39ED-C35D-49A1-AE57-B0543D818F6F}">
  <dimension ref="A1:H21"/>
  <sheetViews>
    <sheetView workbookViewId="0">
      <selection activeCell="G16" sqref="G16"/>
    </sheetView>
  </sheetViews>
  <sheetFormatPr defaultRowHeight="14.5" x14ac:dyDescent="0.35"/>
  <cols>
    <col min="1" max="1" width="15.26953125" customWidth="1"/>
    <col min="2" max="2" width="28" customWidth="1"/>
    <col min="3" max="8" width="20.36328125" customWidth="1"/>
  </cols>
  <sheetData>
    <row r="1" spans="1:8" ht="24" customHeight="1" x14ac:dyDescent="0.4">
      <c r="A1" s="18" t="s">
        <v>62</v>
      </c>
      <c r="B1" s="18"/>
      <c r="C1" s="18"/>
      <c r="D1" s="18"/>
      <c r="E1" s="18"/>
      <c r="F1" s="18"/>
      <c r="G1" s="18"/>
      <c r="H1" s="18"/>
    </row>
    <row r="2" spans="1:8" ht="48" customHeight="1" x14ac:dyDescent="0.35">
      <c r="A2" s="51" t="s">
        <v>138</v>
      </c>
      <c r="B2" s="51"/>
      <c r="C2" s="51"/>
      <c r="D2" s="51"/>
      <c r="E2" s="51"/>
      <c r="F2" s="51"/>
      <c r="G2" s="51"/>
      <c r="H2" s="51"/>
    </row>
    <row r="3" spans="1:8" x14ac:dyDescent="0.35">
      <c r="A3" s="22" t="s">
        <v>63</v>
      </c>
      <c r="B3" s="22" t="s">
        <v>64</v>
      </c>
      <c r="C3" s="22" t="s">
        <v>65</v>
      </c>
      <c r="D3" s="22" t="s">
        <v>66</v>
      </c>
      <c r="E3" s="22" t="s">
        <v>67</v>
      </c>
      <c r="F3" s="22" t="s">
        <v>68</v>
      </c>
      <c r="G3" s="22" t="s">
        <v>69</v>
      </c>
      <c r="H3" s="22" t="s">
        <v>70</v>
      </c>
    </row>
    <row r="4" spans="1:8" x14ac:dyDescent="0.35">
      <c r="A4" s="23" t="s">
        <v>33</v>
      </c>
      <c r="B4" s="23" t="s">
        <v>71</v>
      </c>
      <c r="C4" s="24">
        <v>22</v>
      </c>
      <c r="D4" s="25">
        <v>1.35</v>
      </c>
      <c r="E4" s="26">
        <v>3.5</v>
      </c>
      <c r="F4" s="95">
        <v>57.37</v>
      </c>
      <c r="G4" s="24">
        <v>4</v>
      </c>
      <c r="H4" s="25">
        <v>0.72</v>
      </c>
    </row>
    <row r="5" spans="1:8" x14ac:dyDescent="0.35">
      <c r="A5" s="27" t="s">
        <v>58</v>
      </c>
      <c r="B5" s="27" t="s">
        <v>72</v>
      </c>
      <c r="C5" s="28">
        <v>16</v>
      </c>
      <c r="D5" s="29">
        <v>1.6</v>
      </c>
      <c r="E5" s="30">
        <v>2</v>
      </c>
      <c r="F5" s="96">
        <v>59.5</v>
      </c>
      <c r="G5" s="28">
        <v>3</v>
      </c>
      <c r="H5" s="29">
        <v>0.78</v>
      </c>
    </row>
    <row r="6" spans="1:8" x14ac:dyDescent="0.35">
      <c r="A6" s="23" t="s">
        <v>59</v>
      </c>
      <c r="B6" s="23" t="s">
        <v>73</v>
      </c>
      <c r="C6" s="24">
        <v>18</v>
      </c>
      <c r="D6" s="25">
        <v>1.1000000000000001</v>
      </c>
      <c r="E6" s="26">
        <v>5</v>
      </c>
      <c r="F6" s="95">
        <v>49.38</v>
      </c>
      <c r="G6" s="24">
        <v>5</v>
      </c>
      <c r="H6" s="25">
        <v>0.55000000000000004</v>
      </c>
    </row>
    <row r="7" spans="1:8" x14ac:dyDescent="0.35">
      <c r="A7" s="27" t="s">
        <v>60</v>
      </c>
      <c r="B7" s="27" t="s">
        <v>74</v>
      </c>
      <c r="C7" s="28">
        <v>14</v>
      </c>
      <c r="D7" s="29">
        <v>1.25</v>
      </c>
      <c r="E7" s="30">
        <v>4</v>
      </c>
      <c r="F7" s="96">
        <v>54.79</v>
      </c>
      <c r="G7" s="28">
        <v>4</v>
      </c>
      <c r="H7" s="29">
        <v>0.68</v>
      </c>
    </row>
    <row r="8" spans="1:8" x14ac:dyDescent="0.35">
      <c r="A8" s="23" t="s">
        <v>61</v>
      </c>
      <c r="B8" s="23" t="s">
        <v>75</v>
      </c>
      <c r="C8" s="24">
        <v>12</v>
      </c>
      <c r="D8" s="25">
        <v>1.2</v>
      </c>
      <c r="E8" s="26">
        <v>4.5</v>
      </c>
      <c r="F8" s="95">
        <v>54.79</v>
      </c>
      <c r="G8" s="24">
        <v>4</v>
      </c>
      <c r="H8" s="25">
        <v>0.51</v>
      </c>
    </row>
    <row r="10" spans="1:8" x14ac:dyDescent="0.35">
      <c r="A10" s="9" t="s">
        <v>76</v>
      </c>
      <c r="B10" s="10"/>
    </row>
    <row r="11" spans="1:8" x14ac:dyDescent="0.35">
      <c r="A11" s="8" t="s">
        <v>63</v>
      </c>
      <c r="B11" s="11" t="s">
        <v>77</v>
      </c>
    </row>
    <row r="12" spans="1:8" x14ac:dyDescent="0.35">
      <c r="A12" s="8" t="s">
        <v>64</v>
      </c>
      <c r="B12" s="11" t="s">
        <v>78</v>
      </c>
    </row>
    <row r="13" spans="1:8" x14ac:dyDescent="0.35">
      <c r="A13" s="8" t="s">
        <v>65</v>
      </c>
      <c r="B13" s="11" t="s">
        <v>79</v>
      </c>
    </row>
    <row r="14" spans="1:8" x14ac:dyDescent="0.35">
      <c r="A14" s="8" t="s">
        <v>66</v>
      </c>
      <c r="B14" s="11" t="s">
        <v>80</v>
      </c>
    </row>
    <row r="15" spans="1:8" x14ac:dyDescent="0.35">
      <c r="A15" s="8" t="s">
        <v>67</v>
      </c>
      <c r="B15" s="11" t="s">
        <v>81</v>
      </c>
    </row>
    <row r="16" spans="1:8" x14ac:dyDescent="0.35">
      <c r="A16" s="8" t="s">
        <v>68</v>
      </c>
      <c r="B16" s="11" t="s">
        <v>82</v>
      </c>
    </row>
    <row r="17" spans="1:8" x14ac:dyDescent="0.35">
      <c r="A17" s="8" t="s">
        <v>69</v>
      </c>
      <c r="B17" s="11" t="s">
        <v>83</v>
      </c>
    </row>
    <row r="18" spans="1:8" x14ac:dyDescent="0.35">
      <c r="A18" s="8" t="s">
        <v>70</v>
      </c>
      <c r="B18" s="11" t="s">
        <v>84</v>
      </c>
    </row>
    <row r="21" spans="1:8" ht="28" customHeight="1" x14ac:dyDescent="0.35">
      <c r="A21" s="52" t="s">
        <v>139</v>
      </c>
      <c r="B21" s="52"/>
      <c r="C21" s="52"/>
      <c r="D21" s="52"/>
      <c r="E21" s="52"/>
      <c r="F21" s="52"/>
      <c r="G21" s="52"/>
      <c r="H21" s="52"/>
    </row>
  </sheetData>
  <mergeCells count="3">
    <mergeCell ref="A1:H1"/>
    <mergeCell ref="A2:H2"/>
    <mergeCell ref="A21:H2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6373-6E30-4ADB-B2C6-A1EA93A6CF94}">
  <dimension ref="A1:D28"/>
  <sheetViews>
    <sheetView workbookViewId="0">
      <selection activeCell="C4" sqref="C4"/>
    </sheetView>
  </sheetViews>
  <sheetFormatPr defaultRowHeight="14.5" x14ac:dyDescent="0.35"/>
  <cols>
    <col min="1" max="1" width="31.81640625" customWidth="1"/>
    <col min="2" max="3" width="17.26953125" customWidth="1"/>
    <col min="4" max="4" width="20" customWidth="1"/>
  </cols>
  <sheetData>
    <row r="1" spans="1:4" ht="24" customHeight="1" x14ac:dyDescent="0.4">
      <c r="A1" s="18" t="s">
        <v>85</v>
      </c>
      <c r="B1" s="18"/>
      <c r="C1" s="18"/>
      <c r="D1" s="18"/>
    </row>
    <row r="2" spans="1:4" ht="75" customHeight="1" x14ac:dyDescent="0.35">
      <c r="A2" s="50" t="s">
        <v>138</v>
      </c>
      <c r="B2" s="50"/>
      <c r="C2" s="50"/>
      <c r="D2" s="50"/>
    </row>
    <row r="3" spans="1:4" x14ac:dyDescent="0.35">
      <c r="A3" s="9" t="s">
        <v>86</v>
      </c>
      <c r="B3" s="10"/>
      <c r="C3" s="10"/>
    </row>
    <row r="4" spans="1:4" x14ac:dyDescent="0.35">
      <c r="A4" s="8" t="s">
        <v>87</v>
      </c>
      <c r="C4" s="31" t="str">
        <f>INPUTS!C4</f>
        <v>ED</v>
      </c>
    </row>
    <row r="5" spans="1:4" x14ac:dyDescent="0.35">
      <c r="A5" s="8" t="s">
        <v>88</v>
      </c>
      <c r="C5" s="32">
        <f>INPUTS!C7</f>
        <v>68</v>
      </c>
    </row>
    <row r="6" spans="1:4" x14ac:dyDescent="0.35">
      <c r="A6" s="8" t="s">
        <v>37</v>
      </c>
      <c r="C6" s="32">
        <f>INPUTS!C8</f>
        <v>6</v>
      </c>
    </row>
    <row r="7" spans="1:4" x14ac:dyDescent="0.35">
      <c r="A7" s="8" t="s">
        <v>89</v>
      </c>
      <c r="C7" s="33">
        <f>INPUTS!C11</f>
        <v>0.09</v>
      </c>
    </row>
    <row r="8" spans="1:4" x14ac:dyDescent="0.35">
      <c r="A8" s="8" t="s">
        <v>42</v>
      </c>
      <c r="C8" s="32">
        <f>INPUTS!C12</f>
        <v>12</v>
      </c>
    </row>
    <row r="9" spans="1:4" x14ac:dyDescent="0.35">
      <c r="A9" s="8" t="s">
        <v>44</v>
      </c>
      <c r="C9" s="32">
        <f>INPUTS!C13</f>
        <v>4</v>
      </c>
    </row>
    <row r="10" spans="1:4" x14ac:dyDescent="0.35">
      <c r="A10" s="8" t="s">
        <v>66</v>
      </c>
      <c r="C10" s="34">
        <f>VLOOKUP(C4,UNIT_PARAMS!A4:H8,4,0)</f>
        <v>1.35</v>
      </c>
    </row>
    <row r="12" spans="1:4" x14ac:dyDescent="0.35">
      <c r="A12" s="9" t="s">
        <v>90</v>
      </c>
      <c r="B12" s="10"/>
      <c r="C12" s="10"/>
      <c r="D12" s="10"/>
    </row>
    <row r="13" spans="1:4" x14ac:dyDescent="0.35">
      <c r="A13" s="19" t="s">
        <v>91</v>
      </c>
      <c r="B13" s="19" t="s">
        <v>92</v>
      </c>
      <c r="C13" s="19" t="s">
        <v>93</v>
      </c>
      <c r="D13" s="19" t="s">
        <v>94</v>
      </c>
    </row>
    <row r="14" spans="1:4" x14ac:dyDescent="0.35">
      <c r="A14" s="8" t="s">
        <v>95</v>
      </c>
      <c r="B14" s="20">
        <v>0.3</v>
      </c>
      <c r="C14" s="20">
        <f>C5/120</f>
        <v>0.56666666666666665</v>
      </c>
      <c r="D14" s="20">
        <f>B14*C14</f>
        <v>0.16999999999999998</v>
      </c>
    </row>
    <row r="15" spans="1:4" x14ac:dyDescent="0.35">
      <c r="A15" s="8" t="s">
        <v>96</v>
      </c>
      <c r="B15" s="20">
        <v>0.2</v>
      </c>
      <c r="C15" s="20">
        <f>C6/10</f>
        <v>0.6</v>
      </c>
      <c r="D15" s="20">
        <f>B15*C15</f>
        <v>0.12</v>
      </c>
    </row>
    <row r="16" spans="1:4" x14ac:dyDescent="0.35">
      <c r="A16" s="8" t="s">
        <v>97</v>
      </c>
      <c r="B16" s="20">
        <v>0.2</v>
      </c>
      <c r="C16" s="20">
        <f>C7/0.25</f>
        <v>0.36</v>
      </c>
      <c r="D16" s="20">
        <f>B16*C16</f>
        <v>7.1999999999999995E-2</v>
      </c>
    </row>
    <row r="17" spans="1:4" x14ac:dyDescent="0.35">
      <c r="A17" s="8" t="s">
        <v>98</v>
      </c>
      <c r="B17" s="20">
        <v>0.15</v>
      </c>
      <c r="C17" s="20">
        <f>IF(C8=12,1,IF(C8=10,0.65,0.4))</f>
        <v>1</v>
      </c>
      <c r="D17" s="20">
        <f>B17*C17</f>
        <v>0.15</v>
      </c>
    </row>
    <row r="18" spans="1:4" x14ac:dyDescent="0.35">
      <c r="A18" s="8" t="s">
        <v>99</v>
      </c>
      <c r="B18" s="20">
        <v>0.15</v>
      </c>
      <c r="C18" s="20">
        <f>C9/7</f>
        <v>0.5714285714285714</v>
      </c>
      <c r="D18" s="20">
        <f>B18*C18</f>
        <v>8.5714285714285701E-2</v>
      </c>
    </row>
    <row r="19" spans="1:4" x14ac:dyDescent="0.35">
      <c r="A19" s="9" t="s">
        <v>100</v>
      </c>
      <c r="B19" s="36">
        <f>SUM(B14:B18)</f>
        <v>1</v>
      </c>
      <c r="C19" s="10"/>
      <c r="D19" s="10"/>
    </row>
    <row r="21" spans="1:4" x14ac:dyDescent="0.35">
      <c r="A21" s="9" t="s">
        <v>101</v>
      </c>
      <c r="B21" s="10"/>
      <c r="C21" s="10"/>
    </row>
    <row r="22" spans="1:4" x14ac:dyDescent="0.35">
      <c r="A22" s="8" t="s">
        <v>102</v>
      </c>
      <c r="C22" s="20">
        <f>SUM(D14:D18)</f>
        <v>0.59771428571428575</v>
      </c>
    </row>
    <row r="23" spans="1:4" x14ac:dyDescent="0.35">
      <c r="A23" s="9" t="s">
        <v>103</v>
      </c>
      <c r="C23" s="20">
        <f>C22*(C10-1)*0.25</f>
        <v>5.230000000000002E-2</v>
      </c>
    </row>
    <row r="24" spans="1:4" x14ac:dyDescent="0.35">
      <c r="A24" s="2" t="s">
        <v>104</v>
      </c>
      <c r="C24" s="37">
        <f>MIN(C22+C23,0.99)</f>
        <v>0.65001428571428577</v>
      </c>
    </row>
    <row r="25" spans="1:4" x14ac:dyDescent="0.35">
      <c r="A25" s="8" t="s">
        <v>105</v>
      </c>
      <c r="C25" s="38" t="str">
        <f>IF(C24&gt;=0.7,"HIGH RISK",IF(C24&gt;=0.45,"MODERATE","LOW RISK"))</f>
        <v>MODERATE</v>
      </c>
    </row>
    <row r="28" spans="1:4" ht="28" customHeight="1" x14ac:dyDescent="0.35">
      <c r="A28" s="52" t="s">
        <v>139</v>
      </c>
      <c r="B28" s="52"/>
      <c r="C28" s="52"/>
      <c r="D28" s="52"/>
    </row>
  </sheetData>
  <mergeCells count="3">
    <mergeCell ref="A1:D1"/>
    <mergeCell ref="A2:D2"/>
    <mergeCell ref="A28:D28"/>
  </mergeCells>
  <conditionalFormatting sqref="C25">
    <cfRule type="cellIs" dxfId="26" priority="1" operator="equal">
      <formula>"HIGH RISK"</formula>
    </cfRule>
  </conditionalFormatting>
  <conditionalFormatting sqref="C25">
    <cfRule type="cellIs" dxfId="25" priority="2" operator="equal">
      <formula>"MODERATE"</formula>
    </cfRule>
  </conditionalFormatting>
  <conditionalFormatting sqref="C25">
    <cfRule type="cellIs" dxfId="24" priority="3" operator="equal">
      <formula>"LOW RISK"</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FDD0E-4331-4CB2-BCDE-7035188C5E4D}">
  <dimension ref="A1:H26"/>
  <sheetViews>
    <sheetView workbookViewId="0">
      <selection sqref="A1:H1"/>
    </sheetView>
  </sheetViews>
  <sheetFormatPr defaultRowHeight="14.5" x14ac:dyDescent="0.35"/>
  <cols>
    <col min="1" max="1" width="15.26953125" customWidth="1"/>
    <col min="2" max="2" width="17.81640625" customWidth="1"/>
    <col min="3" max="7" width="20.36328125" customWidth="1"/>
    <col min="8" max="8" width="17.81640625" customWidth="1"/>
  </cols>
  <sheetData>
    <row r="1" spans="1:8" ht="24" customHeight="1" x14ac:dyDescent="0.4">
      <c r="A1" s="18" t="s">
        <v>106</v>
      </c>
      <c r="B1" s="18"/>
      <c r="C1" s="18"/>
      <c r="D1" s="18"/>
      <c r="E1" s="18"/>
      <c r="F1" s="18"/>
      <c r="G1" s="18"/>
      <c r="H1" s="18"/>
    </row>
    <row r="2" spans="1:8" ht="48" customHeight="1" x14ac:dyDescent="0.35">
      <c r="A2" s="50" t="s">
        <v>138</v>
      </c>
      <c r="B2" s="50"/>
      <c r="C2" s="50"/>
      <c r="D2" s="50"/>
      <c r="E2" s="50"/>
      <c r="F2" s="50"/>
      <c r="G2" s="50"/>
      <c r="H2" s="50"/>
    </row>
    <row r="3" spans="1:8" x14ac:dyDescent="0.35">
      <c r="A3" s="9" t="s">
        <v>107</v>
      </c>
      <c r="B3" s="10"/>
      <c r="C3" s="10"/>
    </row>
    <row r="4" spans="1:8" x14ac:dyDescent="0.35">
      <c r="A4" s="8" t="s">
        <v>108</v>
      </c>
      <c r="C4" s="32">
        <f>INPUTS!C7</f>
        <v>68</v>
      </c>
    </row>
    <row r="5" spans="1:8" x14ac:dyDescent="0.35">
      <c r="A5" s="8" t="s">
        <v>37</v>
      </c>
      <c r="C5" s="32">
        <f>INPUTS!C8</f>
        <v>6</v>
      </c>
    </row>
    <row r="6" spans="1:8" x14ac:dyDescent="0.35">
      <c r="A6" s="8" t="s">
        <v>89</v>
      </c>
      <c r="C6" s="33">
        <f>INPUTS!C11</f>
        <v>0.09</v>
      </c>
    </row>
    <row r="7" spans="1:8" x14ac:dyDescent="0.35">
      <c r="A7" s="8" t="s">
        <v>67</v>
      </c>
      <c r="C7" s="39">
        <f>VLOOKUP(INPUTS!C4,UNIT_PARAMS!A4:H8,5,0)</f>
        <v>3.5</v>
      </c>
    </row>
    <row r="9" spans="1:8" x14ac:dyDescent="0.35">
      <c r="A9" s="9" t="s">
        <v>109</v>
      </c>
      <c r="B9" s="10"/>
      <c r="C9" s="10"/>
      <c r="D9" s="10"/>
      <c r="E9" s="10"/>
      <c r="F9" s="10"/>
      <c r="G9" s="10"/>
      <c r="H9" s="10"/>
    </row>
    <row r="10" spans="1:8" ht="30" customHeight="1" x14ac:dyDescent="0.35">
      <c r="A10" s="41" t="s">
        <v>110</v>
      </c>
      <c r="B10" s="41" t="s">
        <v>111</v>
      </c>
      <c r="C10" s="41" t="s">
        <v>112</v>
      </c>
      <c r="D10" s="41" t="s">
        <v>113</v>
      </c>
      <c r="E10" s="41" t="s">
        <v>114</v>
      </c>
      <c r="F10" s="41" t="s">
        <v>115</v>
      </c>
      <c r="G10" s="41" t="s">
        <v>116</v>
      </c>
      <c r="H10" s="41" t="s">
        <v>117</v>
      </c>
    </row>
    <row r="11" spans="1:8" x14ac:dyDescent="0.35">
      <c r="A11" s="42" t="s">
        <v>118</v>
      </c>
      <c r="B11" s="43">
        <v>0.85</v>
      </c>
      <c r="C11" s="44">
        <f>ROUND($C$4*B11*(1+$C$5*0.02),0)</f>
        <v>65</v>
      </c>
      <c r="D11" s="44">
        <f>ROUND(C11*VLOOKUP(INPUTS!$C$4,UNIT_PARAMS!$A$4:$H$8,4,0),0)</f>
        <v>88</v>
      </c>
      <c r="E11" s="44">
        <f>ROUND(D11/$C$7,0)</f>
        <v>25</v>
      </c>
      <c r="F11" s="44">
        <f>ROUND(E11*$C$6,0)</f>
        <v>2</v>
      </c>
      <c r="G11" s="44">
        <f>E11+F11</f>
        <v>27</v>
      </c>
      <c r="H11" s="45" t="str">
        <f>IF(G11&gt;VLOOKUP(INPUTS!$C$4,UNIT_PARAMS!$A$4:$H$8,3,0)*1.3,"⚠ SURGE","OK")</f>
        <v>OK</v>
      </c>
    </row>
    <row r="12" spans="1:8" x14ac:dyDescent="0.35">
      <c r="A12" s="42" t="s">
        <v>119</v>
      </c>
      <c r="B12" s="43">
        <v>0.9</v>
      </c>
      <c r="C12" s="44">
        <f t="shared" ref="C12:C22" si="0">ROUND($C$4*B12*(1+$C$5*0.02),0)</f>
        <v>69</v>
      </c>
      <c r="D12" s="44">
        <f>ROUND(C12*VLOOKUP(INPUTS!$C$4,UNIT_PARAMS!$A$4:$H$8,4,0),0)</f>
        <v>93</v>
      </c>
      <c r="E12" s="44">
        <f t="shared" ref="E12:E22" si="1">ROUND(D12/$C$7,0)</f>
        <v>27</v>
      </c>
      <c r="F12" s="44">
        <f t="shared" ref="F12:F23" si="2">ROUND(E12*$C$6,0)</f>
        <v>2</v>
      </c>
      <c r="G12" s="44">
        <f t="shared" ref="G12:G23" si="3">E12+F12</f>
        <v>29</v>
      </c>
      <c r="H12" s="45" t="str">
        <f>IF(G12&gt;VLOOKUP(INPUTS!$C$4,UNIT_PARAMS!$A$4:$H$8,3,0)*1.3,"⚠ SURGE","OK")</f>
        <v>⚠ SURGE</v>
      </c>
    </row>
    <row r="13" spans="1:8" x14ac:dyDescent="0.35">
      <c r="A13" s="42" t="s">
        <v>120</v>
      </c>
      <c r="B13" s="43">
        <v>0.8</v>
      </c>
      <c r="C13" s="44">
        <f t="shared" si="0"/>
        <v>61</v>
      </c>
      <c r="D13" s="44">
        <f>ROUND(C13*VLOOKUP(INPUTS!$C$4,UNIT_PARAMS!$A$4:$H$8,4,0),0)</f>
        <v>82</v>
      </c>
      <c r="E13" s="44">
        <f t="shared" si="1"/>
        <v>23</v>
      </c>
      <c r="F13" s="44">
        <f t="shared" si="2"/>
        <v>2</v>
      </c>
      <c r="G13" s="44">
        <f t="shared" si="3"/>
        <v>25</v>
      </c>
      <c r="H13" s="45" t="str">
        <f>IF(G13&gt;VLOOKUP(INPUTS!$C$4,UNIT_PARAMS!$A$4:$H$8,3,0)*1.3,"⚠ SURGE","OK")</f>
        <v>OK</v>
      </c>
    </row>
    <row r="14" spans="1:8" x14ac:dyDescent="0.35">
      <c r="A14" s="42" t="s">
        <v>121</v>
      </c>
      <c r="B14" s="43">
        <v>0.75</v>
      </c>
      <c r="C14" s="44">
        <f t="shared" si="0"/>
        <v>57</v>
      </c>
      <c r="D14" s="44">
        <f>ROUND(C14*VLOOKUP(INPUTS!$C$4,UNIT_PARAMS!$A$4:$H$8,4,0),0)</f>
        <v>77</v>
      </c>
      <c r="E14" s="44">
        <f t="shared" si="1"/>
        <v>22</v>
      </c>
      <c r="F14" s="44">
        <f t="shared" si="2"/>
        <v>2</v>
      </c>
      <c r="G14" s="44">
        <f t="shared" si="3"/>
        <v>24</v>
      </c>
      <c r="H14" s="45" t="str">
        <f>IF(G14&gt;VLOOKUP(INPUTS!$C$4,UNIT_PARAMS!$A$4:$H$8,3,0)*1.3,"⚠ SURGE","OK")</f>
        <v>OK</v>
      </c>
    </row>
    <row r="15" spans="1:8" x14ac:dyDescent="0.35">
      <c r="A15" s="42" t="s">
        <v>122</v>
      </c>
      <c r="B15" s="43">
        <v>0.78</v>
      </c>
      <c r="C15" s="44">
        <f t="shared" si="0"/>
        <v>59</v>
      </c>
      <c r="D15" s="44">
        <f>ROUND(C15*VLOOKUP(INPUTS!$C$4,UNIT_PARAMS!$A$4:$H$8,4,0),0)</f>
        <v>80</v>
      </c>
      <c r="E15" s="44">
        <f t="shared" si="1"/>
        <v>23</v>
      </c>
      <c r="F15" s="44">
        <f t="shared" si="2"/>
        <v>2</v>
      </c>
      <c r="G15" s="44">
        <f t="shared" si="3"/>
        <v>25</v>
      </c>
      <c r="H15" s="45" t="str">
        <f>IF(G15&gt;VLOOKUP(INPUTS!$C$4,UNIT_PARAMS!$A$4:$H$8,3,0)*1.3,"⚠ SURGE","OK")</f>
        <v>OK</v>
      </c>
    </row>
    <row r="16" spans="1:8" x14ac:dyDescent="0.35">
      <c r="A16" s="42" t="s">
        <v>123</v>
      </c>
      <c r="B16" s="43">
        <v>0.88</v>
      </c>
      <c r="C16" s="44">
        <f t="shared" si="0"/>
        <v>67</v>
      </c>
      <c r="D16" s="44">
        <f>ROUND(C16*VLOOKUP(INPUTS!$C$4,UNIT_PARAMS!$A$4:$H$8,4,0),0)</f>
        <v>90</v>
      </c>
      <c r="E16" s="44">
        <f t="shared" si="1"/>
        <v>26</v>
      </c>
      <c r="F16" s="44">
        <f t="shared" si="2"/>
        <v>2</v>
      </c>
      <c r="G16" s="44">
        <f t="shared" si="3"/>
        <v>28</v>
      </c>
      <c r="H16" s="45" t="str">
        <f>IF(G16&gt;VLOOKUP(INPUTS!$C$4,UNIT_PARAMS!$A$4:$H$8,3,0)*1.3,"⚠ SURGE","OK")</f>
        <v>OK</v>
      </c>
    </row>
    <row r="17" spans="1:8" x14ac:dyDescent="0.35">
      <c r="A17" s="42" t="s">
        <v>124</v>
      </c>
      <c r="B17" s="43">
        <v>1</v>
      </c>
      <c r="C17" s="44">
        <f t="shared" si="0"/>
        <v>76</v>
      </c>
      <c r="D17" s="44">
        <f>ROUND(C17*VLOOKUP(INPUTS!$C$4,UNIT_PARAMS!$A$4:$H$8,4,0),0)</f>
        <v>103</v>
      </c>
      <c r="E17" s="44">
        <f t="shared" si="1"/>
        <v>29</v>
      </c>
      <c r="F17" s="44">
        <f t="shared" si="2"/>
        <v>3</v>
      </c>
      <c r="G17" s="44">
        <f t="shared" si="3"/>
        <v>32</v>
      </c>
      <c r="H17" s="45" t="str">
        <f>IF(G17&gt;VLOOKUP(INPUTS!$C$4,UNIT_PARAMS!$A$4:$H$8,3,0)*1.3,"⚠ SURGE","OK")</f>
        <v>⚠ SURGE</v>
      </c>
    </row>
    <row r="18" spans="1:8" x14ac:dyDescent="0.35">
      <c r="A18" s="42" t="s">
        <v>125</v>
      </c>
      <c r="B18" s="43">
        <v>1.05</v>
      </c>
      <c r="C18" s="44">
        <f t="shared" si="0"/>
        <v>80</v>
      </c>
      <c r="D18" s="44">
        <f>ROUND(C18*VLOOKUP(INPUTS!$C$4,UNIT_PARAMS!$A$4:$H$8,4,0),0)</f>
        <v>108</v>
      </c>
      <c r="E18" s="44">
        <f t="shared" si="1"/>
        <v>31</v>
      </c>
      <c r="F18" s="44">
        <f t="shared" si="2"/>
        <v>3</v>
      </c>
      <c r="G18" s="44">
        <f t="shared" si="3"/>
        <v>34</v>
      </c>
      <c r="H18" s="45" t="str">
        <f>IF(G18&gt;VLOOKUP(INPUTS!$C$4,UNIT_PARAMS!$A$4:$H$8,3,0)*1.3,"⚠ SURGE","OK")</f>
        <v>⚠ SURGE</v>
      </c>
    </row>
    <row r="19" spans="1:8" x14ac:dyDescent="0.35">
      <c r="A19" s="42" t="s">
        <v>126</v>
      </c>
      <c r="B19" s="43">
        <v>0.82</v>
      </c>
      <c r="C19" s="44">
        <f t="shared" si="0"/>
        <v>62</v>
      </c>
      <c r="D19" s="44">
        <f>ROUND(C19*VLOOKUP(INPUTS!$C$4,UNIT_PARAMS!$A$4:$H$8,4,0),0)</f>
        <v>84</v>
      </c>
      <c r="E19" s="44">
        <f t="shared" si="1"/>
        <v>24</v>
      </c>
      <c r="F19" s="44">
        <f t="shared" si="2"/>
        <v>2</v>
      </c>
      <c r="G19" s="44">
        <f t="shared" si="3"/>
        <v>26</v>
      </c>
      <c r="H19" s="45" t="str">
        <f>IF(G19&gt;VLOOKUP(INPUTS!$C$4,UNIT_PARAMS!$A$4:$H$8,3,0)*1.3,"⚠ SURGE","OK")</f>
        <v>OK</v>
      </c>
    </row>
    <row r="20" spans="1:8" x14ac:dyDescent="0.35">
      <c r="A20" s="42" t="s">
        <v>127</v>
      </c>
      <c r="B20" s="43">
        <v>0.8</v>
      </c>
      <c r="C20" s="44">
        <f t="shared" si="0"/>
        <v>61</v>
      </c>
      <c r="D20" s="44">
        <f>ROUND(C20*VLOOKUP(INPUTS!$C$4,UNIT_PARAMS!$A$4:$H$8,4,0),0)</f>
        <v>82</v>
      </c>
      <c r="E20" s="44">
        <f t="shared" si="1"/>
        <v>23</v>
      </c>
      <c r="F20" s="44">
        <f t="shared" si="2"/>
        <v>2</v>
      </c>
      <c r="G20" s="44">
        <f t="shared" si="3"/>
        <v>25</v>
      </c>
      <c r="H20" s="45" t="str">
        <f>IF(G20&gt;VLOOKUP(INPUTS!$C$4,UNIT_PARAMS!$A$4:$H$8,3,0)*1.3,"⚠ SURGE","OK")</f>
        <v>OK</v>
      </c>
    </row>
    <row r="21" spans="1:8" x14ac:dyDescent="0.35">
      <c r="A21" s="42" t="s">
        <v>128</v>
      </c>
      <c r="B21" s="43">
        <v>0.92</v>
      </c>
      <c r="C21" s="44">
        <f t="shared" si="0"/>
        <v>70</v>
      </c>
      <c r="D21" s="44">
        <f>ROUND(C21*VLOOKUP(INPUTS!$C$4,UNIT_PARAMS!$A$4:$H$8,4,0),0)</f>
        <v>95</v>
      </c>
      <c r="E21" s="44">
        <f t="shared" si="1"/>
        <v>27</v>
      </c>
      <c r="F21" s="44">
        <f t="shared" si="2"/>
        <v>2</v>
      </c>
      <c r="G21" s="44">
        <f t="shared" si="3"/>
        <v>29</v>
      </c>
      <c r="H21" s="45" t="str">
        <f>IF(G21&gt;VLOOKUP(INPUTS!$C$4,UNIT_PARAMS!$A$4:$H$8,3,0)*1.3,"⚠ SURGE","OK")</f>
        <v>⚠ SURGE</v>
      </c>
    </row>
    <row r="22" spans="1:8" x14ac:dyDescent="0.35">
      <c r="A22" s="42" t="s">
        <v>129</v>
      </c>
      <c r="B22" s="43">
        <v>1.1000000000000001</v>
      </c>
      <c r="C22" s="44">
        <f t="shared" si="0"/>
        <v>84</v>
      </c>
      <c r="D22" s="44">
        <f>ROUND(C22*VLOOKUP(INPUTS!$C$4,UNIT_PARAMS!$A$4:$H$8,4,0),0)</f>
        <v>113</v>
      </c>
      <c r="E22" s="44">
        <f t="shared" si="1"/>
        <v>32</v>
      </c>
      <c r="F22" s="44">
        <f t="shared" si="2"/>
        <v>3</v>
      </c>
      <c r="G22" s="44">
        <f t="shared" si="3"/>
        <v>35</v>
      </c>
      <c r="H22" s="45" t="str">
        <f>IF(G22&gt;VLOOKUP(INPUTS!$C$4,UNIT_PARAMS!$A$4:$H$8,3,0)*1.3,"⚠ SURGE","OK")</f>
        <v>⚠ SURGE</v>
      </c>
    </row>
    <row r="23" spans="1:8" x14ac:dyDescent="0.35">
      <c r="A23" s="9" t="s">
        <v>130</v>
      </c>
      <c r="B23" s="10"/>
      <c r="C23" s="40">
        <f>SUM(C11:C22)</f>
        <v>811</v>
      </c>
      <c r="D23" s="40">
        <f>SUM(D11:D22)</f>
        <v>1095</v>
      </c>
      <c r="E23" s="40">
        <f>ROUND(AVERAGE(E11:E22),0)</f>
        <v>26</v>
      </c>
      <c r="F23" s="40">
        <f>SUM(F11:F22)</f>
        <v>27</v>
      </c>
      <c r="G23" s="40">
        <f>ROUND(AVERAGE(G11:G22),0)</f>
        <v>28</v>
      </c>
      <c r="H23" s="10"/>
    </row>
    <row r="26" spans="1:8" ht="28" customHeight="1" x14ac:dyDescent="0.35">
      <c r="A26" s="52" t="s">
        <v>139</v>
      </c>
      <c r="B26" s="52"/>
      <c r="C26" s="52"/>
      <c r="D26" s="52"/>
      <c r="E26" s="52"/>
      <c r="F26" s="52"/>
      <c r="G26" s="52"/>
      <c r="H26" s="52"/>
    </row>
  </sheetData>
  <mergeCells count="3">
    <mergeCell ref="A1:H1"/>
    <mergeCell ref="A2:H2"/>
    <mergeCell ref="A26:H26"/>
  </mergeCells>
  <conditionalFormatting sqref="H11:H22">
    <cfRule type="containsText" dxfId="23" priority="1" operator="containsText" text="SURGE">
      <formula>NOT(ISERROR(SEARCH("SURGE",H11)))</formula>
    </cfRule>
  </conditionalFormatting>
  <conditionalFormatting sqref="H11:H22">
    <cfRule type="containsText" dxfId="22" priority="2" operator="containsText" text="OK">
      <formula>NOT(ISERROR(SEARCH("OK",H11)))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5800-D971-4209-AE7E-48502FC9EE2B}">
  <dimension ref="A1:H45"/>
  <sheetViews>
    <sheetView zoomScale="90" zoomScaleNormal="90" workbookViewId="0">
      <selection sqref="A1:F1"/>
    </sheetView>
  </sheetViews>
  <sheetFormatPr defaultRowHeight="14.5" x14ac:dyDescent="0.35"/>
  <cols>
    <col min="1" max="1" width="28" customWidth="1"/>
    <col min="2" max="2" width="25.453125" customWidth="1"/>
    <col min="3" max="4" width="20.36328125" customWidth="1"/>
    <col min="5" max="5" width="17.81640625" customWidth="1"/>
    <col min="6" max="6" width="22.90625" customWidth="1"/>
  </cols>
  <sheetData>
    <row r="1" spans="1:8" ht="24" customHeight="1" x14ac:dyDescent="0.4">
      <c r="A1" s="18" t="s">
        <v>140</v>
      </c>
      <c r="B1" s="18"/>
      <c r="C1" s="18"/>
      <c r="D1" s="18"/>
      <c r="E1" s="18"/>
      <c r="F1" s="18"/>
      <c r="G1" s="7"/>
      <c r="H1" s="7"/>
    </row>
    <row r="2" spans="1:8" ht="60" customHeight="1" x14ac:dyDescent="0.35">
      <c r="A2" s="50" t="s">
        <v>138</v>
      </c>
      <c r="B2" s="50"/>
      <c r="C2" s="50"/>
      <c r="D2" s="50"/>
      <c r="E2" s="50"/>
      <c r="F2" s="50"/>
      <c r="G2" s="53"/>
      <c r="H2" s="53"/>
    </row>
    <row r="4" spans="1:8" x14ac:dyDescent="0.35">
      <c r="A4" s="9" t="s">
        <v>141</v>
      </c>
      <c r="B4" s="10"/>
      <c r="C4" s="10"/>
    </row>
    <row r="5" spans="1:8" x14ac:dyDescent="0.35">
      <c r="A5" s="8" t="s">
        <v>87</v>
      </c>
      <c r="C5" s="31" t="str">
        <f>INPUTS!C4</f>
        <v>ED</v>
      </c>
    </row>
    <row r="6" spans="1:8" x14ac:dyDescent="0.35">
      <c r="A6" s="8" t="s">
        <v>217</v>
      </c>
      <c r="C6" s="97">
        <f>VLOOKUP(INPUTS!C4,UNIT_PARAMS!A4:H8,6,0)</f>
        <v>57.37</v>
      </c>
    </row>
    <row r="7" spans="1:8" x14ac:dyDescent="0.35">
      <c r="A7" s="8" t="s">
        <v>49</v>
      </c>
      <c r="C7" s="54">
        <f>INPUTS!C17</f>
        <v>1.5</v>
      </c>
    </row>
    <row r="8" spans="1:8" x14ac:dyDescent="0.35">
      <c r="A8" s="8" t="s">
        <v>51</v>
      </c>
      <c r="C8" s="32">
        <f>INPUTS!C18</f>
        <v>30</v>
      </c>
    </row>
    <row r="9" spans="1:8" x14ac:dyDescent="0.35">
      <c r="A9" s="8" t="s">
        <v>42</v>
      </c>
      <c r="C9" s="32">
        <f>INPUTS!C12</f>
        <v>12</v>
      </c>
    </row>
    <row r="10" spans="1:8" x14ac:dyDescent="0.35">
      <c r="A10" s="8" t="s">
        <v>89</v>
      </c>
      <c r="C10" s="33">
        <f>INPUTS!C11</f>
        <v>0.09</v>
      </c>
    </row>
    <row r="11" spans="1:8" x14ac:dyDescent="0.35">
      <c r="A11" s="8" t="s">
        <v>142</v>
      </c>
      <c r="C11" s="32">
        <f>VLOOKUP(INPUTS!C4,UNIT_PARAMS!A4:H8,3,0)</f>
        <v>22</v>
      </c>
    </row>
    <row r="13" spans="1:8" x14ac:dyDescent="0.35">
      <c r="A13" s="9" t="s">
        <v>143</v>
      </c>
      <c r="B13" s="10"/>
      <c r="C13" s="10"/>
      <c r="D13" s="10"/>
      <c r="E13" s="10"/>
      <c r="F13" s="10"/>
    </row>
    <row r="14" spans="1:8" x14ac:dyDescent="0.35">
      <c r="A14" s="22" t="s">
        <v>144</v>
      </c>
      <c r="B14" s="22" t="s">
        <v>145</v>
      </c>
      <c r="C14" s="22" t="s">
        <v>146</v>
      </c>
      <c r="D14" s="22" t="s">
        <v>147</v>
      </c>
      <c r="E14" s="22" t="s">
        <v>148</v>
      </c>
      <c r="F14" s="22" t="s">
        <v>149</v>
      </c>
    </row>
    <row r="15" spans="1:8" x14ac:dyDescent="0.35">
      <c r="A15" s="42" t="s">
        <v>150</v>
      </c>
      <c r="B15" s="61" t="s">
        <v>151</v>
      </c>
      <c r="C15" s="44">
        <f>C11</f>
        <v>22</v>
      </c>
      <c r="D15" s="44">
        <f>INPUTS!C12</f>
        <v>12</v>
      </c>
      <c r="E15" s="63">
        <f>$C$6</f>
        <v>57.37</v>
      </c>
      <c r="F15" s="63">
        <f>C15*D15*E15</f>
        <v>15145.679999999998</v>
      </c>
    </row>
    <row r="16" spans="1:8" x14ac:dyDescent="0.35">
      <c r="A16" s="42" t="s">
        <v>152</v>
      </c>
      <c r="B16" s="61" t="s">
        <v>153</v>
      </c>
      <c r="C16" s="44">
        <f>ROUND(C11*INPUTS!C11,0)</f>
        <v>2</v>
      </c>
      <c r="D16" s="44">
        <f>INPUTS!C12</f>
        <v>12</v>
      </c>
      <c r="E16" s="63">
        <f>$C$6</f>
        <v>57.37</v>
      </c>
      <c r="F16" s="63">
        <f>C16*D16*E16</f>
        <v>1376.8799999999999</v>
      </c>
    </row>
    <row r="17" spans="1:6" x14ac:dyDescent="0.35">
      <c r="A17" s="42" t="s">
        <v>154</v>
      </c>
      <c r="B17" s="61" t="s">
        <v>155</v>
      </c>
      <c r="C17" s="44">
        <f>C16</f>
        <v>2</v>
      </c>
      <c r="D17" s="44">
        <f>INPUTS!C12</f>
        <v>12</v>
      </c>
      <c r="E17" s="63">
        <f>$C$6*($C$7-1)</f>
        <v>28.684999999999999</v>
      </c>
      <c r="F17" s="63">
        <f>C17*D17*E17</f>
        <v>688.43999999999994</v>
      </c>
    </row>
    <row r="19" spans="1:6" x14ac:dyDescent="0.35">
      <c r="A19" s="9" t="s">
        <v>156</v>
      </c>
      <c r="B19" s="10"/>
      <c r="C19" s="10"/>
      <c r="D19" s="10"/>
      <c r="E19" s="10"/>
      <c r="F19" s="56">
        <f>SUM(F15:F17)</f>
        <v>17210.999999999996</v>
      </c>
    </row>
    <row r="20" spans="1:6" x14ac:dyDescent="0.35">
      <c r="A20" s="9" t="s">
        <v>157</v>
      </c>
      <c r="B20" s="10"/>
      <c r="C20" s="10"/>
      <c r="D20" s="10"/>
      <c r="E20" s="10"/>
      <c r="F20" s="56">
        <f>F19/INPUTS!C7</f>
        <v>253.10294117647052</v>
      </c>
    </row>
    <row r="22" spans="1:6" x14ac:dyDescent="0.35">
      <c r="A22" s="9" t="s">
        <v>158</v>
      </c>
      <c r="B22" s="10"/>
      <c r="C22" s="10"/>
      <c r="D22" s="10"/>
      <c r="E22" s="10"/>
      <c r="F22" s="10"/>
    </row>
    <row r="23" spans="1:6" x14ac:dyDescent="0.35">
      <c r="A23" s="22" t="s">
        <v>110</v>
      </c>
      <c r="B23" s="22" t="s">
        <v>111</v>
      </c>
      <c r="C23" s="22" t="s">
        <v>116</v>
      </c>
      <c r="D23" s="22" t="s">
        <v>149</v>
      </c>
      <c r="E23" s="22" t="s">
        <v>159</v>
      </c>
      <c r="F23" s="22" t="s">
        <v>160</v>
      </c>
    </row>
    <row r="24" spans="1:6" ht="16" customHeight="1" x14ac:dyDescent="0.35">
      <c r="A24" s="64" t="s">
        <v>118</v>
      </c>
      <c r="B24" s="43">
        <f>DEMAND_FORECAST!B11</f>
        <v>0.85</v>
      </c>
      <c r="C24" s="44">
        <f>DEMAND_FORECAST!G11</f>
        <v>27</v>
      </c>
      <c r="D24" s="62">
        <f>C24*$C$9*$C$6</f>
        <v>18587.879999999997</v>
      </c>
      <c r="E24" s="44">
        <f>INPUTS!$C$18</f>
        <v>30</v>
      </c>
      <c r="F24" s="62">
        <f>D24*E24</f>
        <v>557636.39999999991</v>
      </c>
    </row>
    <row r="25" spans="1:6" ht="16" customHeight="1" x14ac:dyDescent="0.35">
      <c r="A25" s="64" t="s">
        <v>119</v>
      </c>
      <c r="B25" s="43">
        <f>DEMAND_FORECAST!B12</f>
        <v>0.9</v>
      </c>
      <c r="C25" s="44">
        <f>DEMAND_FORECAST!G12</f>
        <v>29</v>
      </c>
      <c r="D25" s="62">
        <f t="shared" ref="D25:D35" si="0">C25*$C$9*$C$6</f>
        <v>19964.759999999998</v>
      </c>
      <c r="E25" s="44">
        <f>INPUTS!$C$18</f>
        <v>30</v>
      </c>
      <c r="F25" s="62">
        <f t="shared" ref="F25:F35" si="1">D25*E25</f>
        <v>598942.79999999993</v>
      </c>
    </row>
    <row r="26" spans="1:6" ht="16" customHeight="1" x14ac:dyDescent="0.35">
      <c r="A26" s="64" t="s">
        <v>120</v>
      </c>
      <c r="B26" s="43">
        <f>DEMAND_FORECAST!B13</f>
        <v>0.8</v>
      </c>
      <c r="C26" s="44">
        <f>DEMAND_FORECAST!G13</f>
        <v>25</v>
      </c>
      <c r="D26" s="62">
        <f t="shared" si="0"/>
        <v>17211</v>
      </c>
      <c r="E26" s="44">
        <f>INPUTS!$C$18</f>
        <v>30</v>
      </c>
      <c r="F26" s="62">
        <f t="shared" si="1"/>
        <v>516330</v>
      </c>
    </row>
    <row r="27" spans="1:6" ht="16" customHeight="1" x14ac:dyDescent="0.35">
      <c r="A27" s="64" t="s">
        <v>121</v>
      </c>
      <c r="B27" s="43">
        <f>DEMAND_FORECAST!B14</f>
        <v>0.75</v>
      </c>
      <c r="C27" s="44">
        <f>DEMAND_FORECAST!G14</f>
        <v>24</v>
      </c>
      <c r="D27" s="62">
        <f t="shared" si="0"/>
        <v>16522.559999999998</v>
      </c>
      <c r="E27" s="44">
        <f>INPUTS!$C$18</f>
        <v>30</v>
      </c>
      <c r="F27" s="62">
        <f t="shared" si="1"/>
        <v>495676.79999999993</v>
      </c>
    </row>
    <row r="28" spans="1:6" ht="16" customHeight="1" x14ac:dyDescent="0.35">
      <c r="A28" s="64" t="s">
        <v>122</v>
      </c>
      <c r="B28" s="43">
        <f>DEMAND_FORECAST!B15</f>
        <v>0.78</v>
      </c>
      <c r="C28" s="44">
        <f>DEMAND_FORECAST!G15</f>
        <v>25</v>
      </c>
      <c r="D28" s="62">
        <f t="shared" si="0"/>
        <v>17211</v>
      </c>
      <c r="E28" s="44">
        <f>INPUTS!$C$18</f>
        <v>30</v>
      </c>
      <c r="F28" s="62">
        <f t="shared" si="1"/>
        <v>516330</v>
      </c>
    </row>
    <row r="29" spans="1:6" ht="16" customHeight="1" x14ac:dyDescent="0.35">
      <c r="A29" s="64" t="s">
        <v>123</v>
      </c>
      <c r="B29" s="43">
        <f>DEMAND_FORECAST!B16</f>
        <v>0.88</v>
      </c>
      <c r="C29" s="44">
        <f>DEMAND_FORECAST!G16</f>
        <v>28</v>
      </c>
      <c r="D29" s="62">
        <f t="shared" si="0"/>
        <v>19276.32</v>
      </c>
      <c r="E29" s="44">
        <f>INPUTS!$C$18</f>
        <v>30</v>
      </c>
      <c r="F29" s="62">
        <f t="shared" si="1"/>
        <v>578289.6</v>
      </c>
    </row>
    <row r="30" spans="1:6" ht="16" customHeight="1" x14ac:dyDescent="0.35">
      <c r="A30" s="64" t="s">
        <v>124</v>
      </c>
      <c r="B30" s="43">
        <f>DEMAND_FORECAST!B17</f>
        <v>1</v>
      </c>
      <c r="C30" s="44">
        <f>DEMAND_FORECAST!G17</f>
        <v>32</v>
      </c>
      <c r="D30" s="62">
        <f t="shared" si="0"/>
        <v>22030.079999999998</v>
      </c>
      <c r="E30" s="44">
        <f>INPUTS!$C$18</f>
        <v>30</v>
      </c>
      <c r="F30" s="62">
        <f t="shared" si="1"/>
        <v>660902.39999999991</v>
      </c>
    </row>
    <row r="31" spans="1:6" ht="16" customHeight="1" x14ac:dyDescent="0.35">
      <c r="A31" s="64" t="s">
        <v>125</v>
      </c>
      <c r="B31" s="43">
        <f>DEMAND_FORECAST!B18</f>
        <v>1.05</v>
      </c>
      <c r="C31" s="44">
        <f>DEMAND_FORECAST!G18</f>
        <v>34</v>
      </c>
      <c r="D31" s="62">
        <f t="shared" si="0"/>
        <v>23406.959999999999</v>
      </c>
      <c r="E31" s="44">
        <f>INPUTS!$C$18</f>
        <v>30</v>
      </c>
      <c r="F31" s="62">
        <f t="shared" si="1"/>
        <v>702208.79999999993</v>
      </c>
    </row>
    <row r="32" spans="1:6" ht="16" customHeight="1" x14ac:dyDescent="0.35">
      <c r="A32" s="64" t="s">
        <v>126</v>
      </c>
      <c r="B32" s="43">
        <f>DEMAND_FORECAST!B19</f>
        <v>0.82</v>
      </c>
      <c r="C32" s="44">
        <f>DEMAND_FORECAST!G19</f>
        <v>26</v>
      </c>
      <c r="D32" s="62">
        <f t="shared" si="0"/>
        <v>17899.439999999999</v>
      </c>
      <c r="E32" s="44">
        <f>INPUTS!$C$18</f>
        <v>30</v>
      </c>
      <c r="F32" s="62">
        <f t="shared" si="1"/>
        <v>536983.19999999995</v>
      </c>
    </row>
    <row r="33" spans="1:6" ht="16" customHeight="1" x14ac:dyDescent="0.35">
      <c r="A33" s="64" t="s">
        <v>127</v>
      </c>
      <c r="B33" s="43">
        <f>DEMAND_FORECAST!B20</f>
        <v>0.8</v>
      </c>
      <c r="C33" s="44">
        <f>DEMAND_FORECAST!G20</f>
        <v>25</v>
      </c>
      <c r="D33" s="62">
        <f t="shared" si="0"/>
        <v>17211</v>
      </c>
      <c r="E33" s="44">
        <f>INPUTS!$C$18</f>
        <v>30</v>
      </c>
      <c r="F33" s="62">
        <f t="shared" si="1"/>
        <v>516330</v>
      </c>
    </row>
    <row r="34" spans="1:6" ht="16" customHeight="1" x14ac:dyDescent="0.35">
      <c r="A34" s="64" t="s">
        <v>128</v>
      </c>
      <c r="B34" s="43">
        <f>DEMAND_FORECAST!B21</f>
        <v>0.92</v>
      </c>
      <c r="C34" s="44">
        <f>DEMAND_FORECAST!G21</f>
        <v>29</v>
      </c>
      <c r="D34" s="62">
        <f t="shared" si="0"/>
        <v>19964.759999999998</v>
      </c>
      <c r="E34" s="44">
        <f>INPUTS!$C$18</f>
        <v>30</v>
      </c>
      <c r="F34" s="62">
        <f t="shared" si="1"/>
        <v>598942.79999999993</v>
      </c>
    </row>
    <row r="35" spans="1:6" ht="16" customHeight="1" x14ac:dyDescent="0.35">
      <c r="A35" s="64" t="s">
        <v>129</v>
      </c>
      <c r="B35" s="43">
        <f>DEMAND_FORECAST!B22</f>
        <v>1.1000000000000001</v>
      </c>
      <c r="C35" s="44">
        <f>DEMAND_FORECAST!G22</f>
        <v>35</v>
      </c>
      <c r="D35" s="62">
        <f t="shared" si="0"/>
        <v>24095.399999999998</v>
      </c>
      <c r="E35" s="44">
        <f>INPUTS!$C$18</f>
        <v>30</v>
      </c>
      <c r="F35" s="62">
        <f t="shared" si="1"/>
        <v>722861.99999999988</v>
      </c>
    </row>
    <row r="36" spans="1:6" x14ac:dyDescent="0.35">
      <c r="A36" s="9" t="s">
        <v>130</v>
      </c>
      <c r="B36" s="10"/>
      <c r="C36" s="40">
        <f>ROUND(AVERAGE(C24:C35),0)</f>
        <v>28</v>
      </c>
      <c r="D36" s="57">
        <f>ROUND(AVERAGE(D24:D35),0)</f>
        <v>19448</v>
      </c>
      <c r="E36" s="10"/>
      <c r="F36" s="57">
        <f>SUM(F24:F35)</f>
        <v>7001434.7999999998</v>
      </c>
    </row>
    <row r="38" spans="1:6" x14ac:dyDescent="0.35">
      <c r="A38" s="9" t="s">
        <v>161</v>
      </c>
      <c r="B38" s="10"/>
      <c r="C38" s="10"/>
    </row>
    <row r="39" spans="1:6" x14ac:dyDescent="0.35">
      <c r="A39" s="9" t="s">
        <v>162</v>
      </c>
      <c r="C39" s="58">
        <f>F36</f>
        <v>7001434.7999999998</v>
      </c>
    </row>
    <row r="40" spans="1:6" x14ac:dyDescent="0.35">
      <c r="A40" s="9" t="s">
        <v>163</v>
      </c>
      <c r="C40" s="55">
        <f>F36/12</f>
        <v>583452.9</v>
      </c>
    </row>
    <row r="41" spans="1:6" x14ac:dyDescent="0.35">
      <c r="A41" s="9" t="s">
        <v>164</v>
      </c>
      <c r="C41" s="59">
        <f>MAX(F24:F35)</f>
        <v>722861.99999999988</v>
      </c>
    </row>
    <row r="42" spans="1:6" x14ac:dyDescent="0.35">
      <c r="A42" s="9" t="s">
        <v>165</v>
      </c>
      <c r="C42" s="60">
        <f>MIN(F24:F35)</f>
        <v>495676.79999999993</v>
      </c>
    </row>
    <row r="43" spans="1:6" x14ac:dyDescent="0.35">
      <c r="A43" s="9" t="s">
        <v>166</v>
      </c>
      <c r="C43" s="55">
        <f>C41-C42</f>
        <v>227185.19999999995</v>
      </c>
    </row>
    <row r="45" spans="1:6" ht="30" customHeight="1" x14ac:dyDescent="0.35">
      <c r="A45" s="65" t="s">
        <v>139</v>
      </c>
      <c r="B45" s="65"/>
      <c r="C45" s="65"/>
      <c r="D45" s="65"/>
      <c r="E45" s="65"/>
      <c r="F45" s="65"/>
    </row>
  </sheetData>
  <mergeCells count="3">
    <mergeCell ref="A1:F1"/>
    <mergeCell ref="A2:F2"/>
    <mergeCell ref="A45:F4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65F13-0E91-498F-BAA5-87906E1BF46C}">
  <dimension ref="A1:H46"/>
  <sheetViews>
    <sheetView topLeftCell="A4" zoomScaleNormal="100" workbookViewId="0">
      <selection sqref="A1:H1"/>
    </sheetView>
  </sheetViews>
  <sheetFormatPr defaultRowHeight="14.5" x14ac:dyDescent="0.35"/>
  <cols>
    <col min="1" max="3" width="17.81640625" customWidth="1"/>
    <col min="4" max="4" width="22.90625" customWidth="1"/>
  </cols>
  <sheetData>
    <row r="1" spans="1:8" ht="24" customHeight="1" x14ac:dyDescent="0.4">
      <c r="A1" s="18" t="s">
        <v>167</v>
      </c>
      <c r="B1" s="18"/>
      <c r="C1" s="18"/>
      <c r="D1" s="18"/>
      <c r="E1" s="18"/>
      <c r="F1" s="18"/>
      <c r="G1" s="18"/>
      <c r="H1" s="18"/>
    </row>
    <row r="2" spans="1:8" ht="48" customHeight="1" x14ac:dyDescent="0.35">
      <c r="A2" s="50" t="s">
        <v>138</v>
      </c>
      <c r="B2" s="50"/>
      <c r="C2" s="50"/>
      <c r="D2" s="50"/>
      <c r="E2" s="50"/>
      <c r="F2" s="50"/>
      <c r="G2" s="50"/>
      <c r="H2" s="50"/>
    </row>
    <row r="4" spans="1:8" x14ac:dyDescent="0.35">
      <c r="A4" s="9" t="s">
        <v>168</v>
      </c>
      <c r="B4" s="9"/>
      <c r="C4" s="9"/>
      <c r="D4" s="9"/>
      <c r="E4" s="9"/>
      <c r="F4" s="9"/>
      <c r="G4" s="9"/>
      <c r="H4" s="9"/>
    </row>
    <row r="5" spans="1:8" ht="30" customHeight="1" x14ac:dyDescent="0.35">
      <c r="A5" s="66" t="s">
        <v>169</v>
      </c>
      <c r="B5" s="66"/>
      <c r="C5" s="66"/>
      <c r="D5" s="66"/>
      <c r="E5" s="66"/>
      <c r="F5" s="66"/>
      <c r="G5" s="66"/>
      <c r="H5" s="66"/>
    </row>
    <row r="7" spans="1:8" x14ac:dyDescent="0.35">
      <c r="A7" s="9" t="s">
        <v>170</v>
      </c>
      <c r="B7" s="9"/>
      <c r="C7" s="9"/>
      <c r="D7" s="9"/>
      <c r="E7" s="9"/>
      <c r="F7" s="9"/>
      <c r="G7" s="9"/>
      <c r="H7" s="9"/>
    </row>
    <row r="8" spans="1:8" x14ac:dyDescent="0.35">
      <c r="A8" s="22" t="s">
        <v>171</v>
      </c>
      <c r="B8" s="22" t="s">
        <v>172</v>
      </c>
      <c r="C8" s="22" t="s">
        <v>105</v>
      </c>
    </row>
    <row r="9" spans="1:8" x14ac:dyDescent="0.35">
      <c r="A9" s="44">
        <v>20</v>
      </c>
      <c r="B9" s="43">
        <f>MIN((A9/120*0.3)+(INPUTS!$C$8/10*0.2)+(INPUTS!$C$11/25*0.2)+IF(INPUTS!$C$12=12,0.2,IF(INPUTS!$C$12=10,0.13,0.08))+(INPUTS!$C$13/7*0.15)+((VLOOKUP(INPUTS!$C$4,UNIT_PARAMS!$A$4:$H$8,4,0)-1)*0.25),0.99)</f>
        <v>0.5439342857142857</v>
      </c>
      <c r="C9" s="45" t="str">
        <f>IF(B9&gt;=0.7,"HIGH RISK",IF(B9&gt;=0.45,"MODERATE","LOW RISK"))</f>
        <v>MODERATE</v>
      </c>
    </row>
    <row r="10" spans="1:8" x14ac:dyDescent="0.35">
      <c r="A10" s="44">
        <v>30</v>
      </c>
      <c r="B10" s="43">
        <f>MIN((A10/120*0.3)+(INPUTS!$C$8/10*0.2)+(INPUTS!$C$11/25*0.2)+IF(INPUTS!$C$12=12,0.2,IF(INPUTS!$C$12=10,0.13,0.08))+(INPUTS!$C$13/7*0.15)+((VLOOKUP(INPUTS!$C$4,UNIT_PARAMS!$A$4:$H$8,4,0)-1)*0.25),0.99)</f>
        <v>0.56893428571428573</v>
      </c>
      <c r="C10" s="45" t="str">
        <f t="shared" ref="C10:C18" si="0">IF(B10&gt;=0.7,"HIGH RISK",IF(B10&gt;=0.45,"MODERATE","LOW RISK"))</f>
        <v>MODERATE</v>
      </c>
    </row>
    <row r="11" spans="1:8" x14ac:dyDescent="0.35">
      <c r="A11" s="44">
        <v>40</v>
      </c>
      <c r="B11" s="43">
        <f>MIN((A11/120*0.3)+(INPUTS!$C$8/10*0.2)+(INPUTS!$C$11/25*0.2)+IF(INPUTS!$C$12=12,0.2,IF(INPUTS!$C$12=10,0.13,0.08))+(INPUTS!$C$13/7*0.15)+((VLOOKUP(INPUTS!$C$4,UNIT_PARAMS!$A$4:$H$8,4,0)-1)*0.25),0.99)</f>
        <v>0.59393428571428575</v>
      </c>
      <c r="C11" s="45" t="str">
        <f t="shared" si="0"/>
        <v>MODERATE</v>
      </c>
    </row>
    <row r="12" spans="1:8" x14ac:dyDescent="0.35">
      <c r="A12" s="44">
        <v>50</v>
      </c>
      <c r="B12" s="43">
        <f>MIN((A12/120*0.3)+(INPUTS!$C$8/10*0.2)+(INPUTS!$C$11/25*0.2)+IF(INPUTS!$C$12=12,0.2,IF(INPUTS!$C$12=10,0.13,0.08))+(INPUTS!$C$13/7*0.15)+((VLOOKUP(INPUTS!$C$4,UNIT_PARAMS!$A$4:$H$8,4,0)-1)*0.25),0.99)</f>
        <v>0.61893428571428577</v>
      </c>
      <c r="C12" s="45" t="str">
        <f t="shared" si="0"/>
        <v>MODERATE</v>
      </c>
    </row>
    <row r="13" spans="1:8" x14ac:dyDescent="0.35">
      <c r="A13" s="44">
        <v>60</v>
      </c>
      <c r="B13" s="43">
        <f>MIN((A13/120*0.3)+(INPUTS!$C$8/10*0.2)+(INPUTS!$C$11/25*0.2)+IF(INPUTS!$C$12=12,0.2,IF(INPUTS!$C$12=10,0.13,0.08))+(INPUTS!$C$13/7*0.15)+((VLOOKUP(INPUTS!$C$4,UNIT_PARAMS!$A$4:$H$8,4,0)-1)*0.25),0.99)</f>
        <v>0.64393428571428579</v>
      </c>
      <c r="C13" s="45" t="str">
        <f t="shared" si="0"/>
        <v>MODERATE</v>
      </c>
    </row>
    <row r="14" spans="1:8" x14ac:dyDescent="0.35">
      <c r="A14" s="67">
        <v>68</v>
      </c>
      <c r="B14" s="68">
        <f>MIN((A14/120*0.3)+(INPUTS!$C$8/10*0.2)+(INPUTS!$C$11/25*0.2)+IF(INPUTS!$C$12=12,0.2,IF(INPUTS!$C$12=10,0.13,0.08))+(INPUTS!$C$13/7*0.15)+((VLOOKUP(INPUTS!$C$4,UNIT_PARAMS!$A$4:$H$8,4,0)-1)*0.25),0.99)</f>
        <v>0.6639342857142857</v>
      </c>
      <c r="C14" s="69" t="str">
        <f t="shared" si="0"/>
        <v>MODERATE</v>
      </c>
    </row>
    <row r="15" spans="1:8" x14ac:dyDescent="0.35">
      <c r="A15" s="44">
        <v>80</v>
      </c>
      <c r="B15" s="43">
        <f>MIN((A15/120*0.3)+(INPUTS!$C$8/10*0.2)+(INPUTS!$C$11/25*0.2)+IF(INPUTS!$C$12=12,0.2,IF(INPUTS!$C$12=10,0.13,0.08))+(INPUTS!$C$13/7*0.15)+((VLOOKUP(INPUTS!$C$4,UNIT_PARAMS!$A$4:$H$8,4,0)-1)*0.25),0.99)</f>
        <v>0.69393428571428573</v>
      </c>
      <c r="C15" s="45" t="str">
        <f t="shared" si="0"/>
        <v>MODERATE</v>
      </c>
    </row>
    <row r="16" spans="1:8" x14ac:dyDescent="0.35">
      <c r="A16" s="44">
        <v>90</v>
      </c>
      <c r="B16" s="43">
        <f>MIN((A16/120*0.3)+(INPUTS!$C$8/10*0.2)+(INPUTS!$C$11/25*0.2)+IF(INPUTS!$C$12=12,0.2,IF(INPUTS!$C$12=10,0.13,0.08))+(INPUTS!$C$13/7*0.15)+((VLOOKUP(INPUTS!$C$4,UNIT_PARAMS!$A$4:$H$8,4,0)-1)*0.25),0.99)</f>
        <v>0.71893428571428575</v>
      </c>
      <c r="C16" s="45" t="str">
        <f t="shared" si="0"/>
        <v>HIGH RISK</v>
      </c>
    </row>
    <row r="17" spans="1:8" x14ac:dyDescent="0.35">
      <c r="A17" s="44">
        <v>100</v>
      </c>
      <c r="B17" s="43">
        <f>MIN((A17/120*0.3)+(INPUTS!$C$8/10*0.2)+(INPUTS!$C$11/25*0.2)+IF(INPUTS!$C$12=12,0.2,IF(INPUTS!$C$12=10,0.13,0.08))+(INPUTS!$C$13/7*0.15)+((VLOOKUP(INPUTS!$C$4,UNIT_PARAMS!$A$4:$H$8,4,0)-1)*0.25),0.99)</f>
        <v>0.74393428571428577</v>
      </c>
      <c r="C17" s="45" t="str">
        <f t="shared" si="0"/>
        <v>HIGH RISK</v>
      </c>
    </row>
    <row r="18" spans="1:8" x14ac:dyDescent="0.35">
      <c r="A18" s="44">
        <v>120</v>
      </c>
      <c r="B18" s="43">
        <f>MIN((A18/120*0.3)+(INPUTS!$C$8/10*0.2)+(INPUTS!$C$11/25*0.2)+IF(INPUTS!$C$12=12,0.2,IF(INPUTS!$C$12=10,0.13,0.08))+(INPUTS!$C$13/7*0.15)+((VLOOKUP(INPUTS!$C$4,UNIT_PARAMS!$A$4:$H$8,4,0)-1)*0.25),0.99)</f>
        <v>0.7939342857142857</v>
      </c>
      <c r="C18" s="45" t="str">
        <f t="shared" si="0"/>
        <v>HIGH RISK</v>
      </c>
    </row>
    <row r="20" spans="1:8" x14ac:dyDescent="0.35">
      <c r="A20" s="9" t="s">
        <v>173</v>
      </c>
      <c r="B20" s="9"/>
      <c r="C20" s="9"/>
      <c r="D20" s="9"/>
      <c r="E20" s="9"/>
      <c r="F20" s="9"/>
      <c r="G20" s="9"/>
      <c r="H20" s="9"/>
    </row>
    <row r="21" spans="1:8" x14ac:dyDescent="0.35">
      <c r="A21" s="22" t="s">
        <v>89</v>
      </c>
      <c r="B21" s="22" t="s">
        <v>172</v>
      </c>
      <c r="C21" s="22" t="s">
        <v>105</v>
      </c>
      <c r="D21" s="22" t="s">
        <v>174</v>
      </c>
    </row>
    <row r="22" spans="1:8" x14ac:dyDescent="0.35">
      <c r="A22" s="70">
        <v>0.02</v>
      </c>
      <c r="B22" s="43">
        <f>MIN((INPUTS!$C$7/120*0.3)+(INPUTS!$C$8/10*0.2)+($A22/25*0.2)+IF(INPUTS!$C$12=12,0.2,IF(INPUTS!$C$12=10,0.13,0.08))+(INPUTS!$C$13/7*0.15)+((VLOOKUP(INPUTS!$C$4,UNIT_PARAMS!$A$4:$H$8,4,0)-1)*0.25),0.99)</f>
        <v>0.66337428571428569</v>
      </c>
      <c r="C22" s="45" t="str">
        <f>IF(B22&gt;=0.7,"HIGH RISK",IF(B22&gt;=0.45,"MODERATE","LOW RISK"))</f>
        <v>MODERATE</v>
      </c>
      <c r="D22" s="44">
        <f>ROUND(VLOOKUP(INPUTS!$C$4,UNIT_PARAMS!$A$4:$H$8,3,0)*$A22,0)</f>
        <v>0</v>
      </c>
    </row>
    <row r="23" spans="1:8" x14ac:dyDescent="0.35">
      <c r="A23" s="70">
        <v>0.05</v>
      </c>
      <c r="B23" s="43">
        <f>MIN((INPUTS!$C$7/120*0.3)+(INPUTS!$C$8/10*0.2)+($A23/25*0.2)+IF(INPUTS!$C$12=12,0.2,IF(INPUTS!$C$12=10,0.13,0.08))+(INPUTS!$C$13/7*0.15)+((VLOOKUP(INPUTS!$C$4,UNIT_PARAMS!$A$4:$H$8,4,0)-1)*0.25),0.99)</f>
        <v>0.66361428571428571</v>
      </c>
      <c r="C23" s="45" t="str">
        <f t="shared" ref="C23:C31" si="1">IF(B23&gt;=0.7,"HIGH RISK",IF(B23&gt;=0.45,"MODERATE","LOW RISK"))</f>
        <v>MODERATE</v>
      </c>
      <c r="D23" s="44">
        <f>ROUND(VLOOKUP(INPUTS!$C$4,UNIT_PARAMS!$A$4:$H$8,3,0)*$A23,0)</f>
        <v>1</v>
      </c>
    </row>
    <row r="24" spans="1:8" x14ac:dyDescent="0.35">
      <c r="A24" s="70">
        <v>0.08</v>
      </c>
      <c r="B24" s="43">
        <f>MIN((INPUTS!$C$7/120*0.3)+(INPUTS!$C$8/10*0.2)+($A24/25*0.2)+IF(INPUTS!$C$12=12,0.2,IF(INPUTS!$C$12=10,0.13,0.08))+(INPUTS!$C$13/7*0.15)+((VLOOKUP(INPUTS!$C$4,UNIT_PARAMS!$A$4:$H$8,4,0)-1)*0.25),0.99)</f>
        <v>0.66385428571428573</v>
      </c>
      <c r="C24" s="45" t="str">
        <f t="shared" si="1"/>
        <v>MODERATE</v>
      </c>
      <c r="D24" s="44">
        <f>ROUND(VLOOKUP(INPUTS!$C$4,UNIT_PARAMS!$A$4:$H$8,3,0)*$A24,0)</f>
        <v>2</v>
      </c>
    </row>
    <row r="25" spans="1:8" x14ac:dyDescent="0.35">
      <c r="A25" s="71">
        <v>0.09</v>
      </c>
      <c r="B25" s="68">
        <f>MIN((INPUTS!$C$7/120*0.3)+(INPUTS!$C$8/10*0.2)+($A25/25*0.2)+IF(INPUTS!$C$12=12,0.2,IF(INPUTS!$C$12=10,0.13,0.08))+(INPUTS!$C$13/7*0.15)+((VLOOKUP(INPUTS!$C$4,UNIT_PARAMS!$A$4:$H$8,4,0)-1)*0.25),0.99)</f>
        <v>0.6639342857142857</v>
      </c>
      <c r="C25" s="69" t="str">
        <f t="shared" si="1"/>
        <v>MODERATE</v>
      </c>
      <c r="D25" s="67">
        <f>ROUND(VLOOKUP(INPUTS!$C$4,UNIT_PARAMS!$A$4:$H$8,3,0)*$A25,0)</f>
        <v>2</v>
      </c>
    </row>
    <row r="26" spans="1:8" x14ac:dyDescent="0.35">
      <c r="A26" s="70">
        <v>0.12</v>
      </c>
      <c r="B26" s="43">
        <f>MIN((INPUTS!$C$7/120*0.3)+(INPUTS!$C$8/10*0.2)+($A26/25*0.2)+IF(INPUTS!$C$12=12,0.2,IF(INPUTS!$C$12=10,0.13,0.08))+(INPUTS!$C$13/7*0.15)+((VLOOKUP(INPUTS!$C$4,UNIT_PARAMS!$A$4:$H$8,4,0)-1)*0.25),0.99)</f>
        <v>0.66417428571428572</v>
      </c>
      <c r="C26" s="45" t="str">
        <f t="shared" si="1"/>
        <v>MODERATE</v>
      </c>
      <c r="D26" s="44">
        <f>ROUND(VLOOKUP(INPUTS!$C$4,UNIT_PARAMS!$A$4:$H$8,3,0)*$A26,0)</f>
        <v>3</v>
      </c>
    </row>
    <row r="27" spans="1:8" x14ac:dyDescent="0.35">
      <c r="A27" s="70">
        <v>0.15</v>
      </c>
      <c r="B27" s="43">
        <f>MIN((INPUTS!$C$7/120*0.3)+(INPUTS!$C$8/10*0.2)+($A27/25*0.2)+IF(INPUTS!$C$12=12,0.2,IF(INPUTS!$C$12=10,0.13,0.08))+(INPUTS!$C$13/7*0.15)+((VLOOKUP(INPUTS!$C$4,UNIT_PARAMS!$A$4:$H$8,4,0)-1)*0.25),0.99)</f>
        <v>0.66441428571428574</v>
      </c>
      <c r="C27" s="45" t="str">
        <f t="shared" si="1"/>
        <v>MODERATE</v>
      </c>
      <c r="D27" s="44">
        <f>ROUND(VLOOKUP(INPUTS!$C$4,UNIT_PARAMS!$A$4:$H$8,3,0)*$A27,0)</f>
        <v>3</v>
      </c>
    </row>
    <row r="28" spans="1:8" x14ac:dyDescent="0.35">
      <c r="A28" s="70">
        <v>0.18</v>
      </c>
      <c r="B28" s="43">
        <f>MIN((INPUTS!$C$7/120*0.3)+(INPUTS!$C$8/10*0.2)+($A28/25*0.2)+IF(INPUTS!$C$12=12,0.2,IF(INPUTS!$C$12=10,0.13,0.08))+(INPUTS!$C$13/7*0.15)+((VLOOKUP(INPUTS!$C$4,UNIT_PARAMS!$A$4:$H$8,4,0)-1)*0.25),0.99)</f>
        <v>0.66465428571428575</v>
      </c>
      <c r="C28" s="45" t="str">
        <f t="shared" si="1"/>
        <v>MODERATE</v>
      </c>
      <c r="D28" s="44">
        <f>ROUND(VLOOKUP(INPUTS!$C$4,UNIT_PARAMS!$A$4:$H$8,3,0)*$A28,0)</f>
        <v>4</v>
      </c>
    </row>
    <row r="29" spans="1:8" x14ac:dyDescent="0.35">
      <c r="A29" s="70">
        <v>0.2</v>
      </c>
      <c r="B29" s="43">
        <f>MIN((INPUTS!$C$7/120*0.3)+(INPUTS!$C$8/10*0.2)+($A29/25*0.2)+IF(INPUTS!$C$12=12,0.2,IF(INPUTS!$C$12=10,0.13,0.08))+(INPUTS!$C$13/7*0.15)+((VLOOKUP(INPUTS!$C$4,UNIT_PARAMS!$A$4:$H$8,4,0)-1)*0.25),0.99)</f>
        <v>0.66481428571428569</v>
      </c>
      <c r="C29" s="45" t="str">
        <f t="shared" si="1"/>
        <v>MODERATE</v>
      </c>
      <c r="D29" s="44">
        <f>ROUND(VLOOKUP(INPUTS!$C$4,UNIT_PARAMS!$A$4:$H$8,3,0)*$A29,0)</f>
        <v>4</v>
      </c>
    </row>
    <row r="30" spans="1:8" ht="15" customHeight="1" x14ac:dyDescent="0.35">
      <c r="A30" s="70">
        <v>0.22</v>
      </c>
      <c r="B30" s="43">
        <f>MIN((INPUTS!$C$7/120*0.3)+(INPUTS!$C$8/10*0.2)+($A30/25*0.2)+IF(INPUTS!$C$12=12,0.2,IF(INPUTS!$C$12=10,0.13,0.08))+(INPUTS!$C$13/7*0.15)+((VLOOKUP(INPUTS!$C$4,UNIT_PARAMS!$A$4:$H$8,4,0)-1)*0.25),0.99)</f>
        <v>0.66497428571428574</v>
      </c>
      <c r="C30" s="45" t="str">
        <f t="shared" si="1"/>
        <v>MODERATE</v>
      </c>
      <c r="D30" s="44">
        <f>ROUND(VLOOKUP(INPUTS!$C$4,UNIT_PARAMS!$A$4:$H$8,3,0)*$A30,0)</f>
        <v>5</v>
      </c>
    </row>
    <row r="31" spans="1:8" x14ac:dyDescent="0.35">
      <c r="A31" s="70">
        <v>0.25</v>
      </c>
      <c r="B31" s="43">
        <f>MIN((INPUTS!$C$7/120*0.3)+(INPUTS!$C$8/10*0.2)+($A31/25*0.2)+IF(INPUTS!$C$12=12,0.2,IF(INPUTS!$C$12=10,0.13,0.08))+(INPUTS!$C$13/7*0.15)+((VLOOKUP(INPUTS!$C$4,UNIT_PARAMS!$A$4:$H$8,4,0)-1)*0.25),0.99)</f>
        <v>0.66521428571428576</v>
      </c>
      <c r="C31" s="45" t="str">
        <f t="shared" si="1"/>
        <v>MODERATE</v>
      </c>
      <c r="D31" s="44">
        <f>ROUND(VLOOKUP(INPUTS!$C$4,UNIT_PARAMS!$A$4:$H$8,3,0)*$A31,0)</f>
        <v>6</v>
      </c>
    </row>
    <row r="33" spans="1:8" x14ac:dyDescent="0.35">
      <c r="A33" s="9" t="s">
        <v>175</v>
      </c>
      <c r="B33" s="9"/>
      <c r="C33" s="9"/>
      <c r="D33" s="9"/>
      <c r="E33" s="9"/>
      <c r="F33" s="9"/>
      <c r="G33" s="9"/>
      <c r="H33" s="9"/>
    </row>
    <row r="34" spans="1:8" x14ac:dyDescent="0.35">
      <c r="A34" s="22" t="s">
        <v>176</v>
      </c>
      <c r="B34" s="22" t="s">
        <v>172</v>
      </c>
      <c r="C34" s="22" t="s">
        <v>105</v>
      </c>
      <c r="D34" s="22" t="s">
        <v>177</v>
      </c>
    </row>
    <row r="35" spans="1:8" x14ac:dyDescent="0.35">
      <c r="A35" s="45" t="s">
        <v>178</v>
      </c>
      <c r="B35" s="43">
        <f>MIN((INPUTS!$C$7/120*0.3)+(INPUTS!$C$8/10*0.2)+(INPUTS!$C$11/25*0.2)+0.08+(INPUTS!$C$13/7*0.15)+((VLOOKUP(INPUTS!$C$4,UNIT_PARAMS!$A$4:$H$8,4,0)-1)*0.25),0.99)</f>
        <v>0.5439342857142857</v>
      </c>
      <c r="C35" s="45" t="str">
        <f>IF(B35&gt;=0.7,"HIGH RISK",IF(B35&gt;=0.45,"MODERATE","LOW RISK"))</f>
        <v>MODERATE</v>
      </c>
      <c r="D35" s="62">
        <f>VLOOKUP(INPUTS!$C$4,UNIT_PARAMS!$A$4:$H$8,3,0)*8*VLOOKUP(INPUTS!$C$4,UNIT_PARAMS!$A$4:$H$8,6,0)</f>
        <v>10097.119999999999</v>
      </c>
    </row>
    <row r="36" spans="1:8" x14ac:dyDescent="0.35">
      <c r="A36" s="45" t="s">
        <v>179</v>
      </c>
      <c r="B36" s="43">
        <f>MIN((INPUTS!$C$7/120*0.3)+(INPUTS!$C$8/10*0.2)+(INPUTS!$C$11/25*0.2)+0.13+(INPUTS!$C$13/7*0.15)+((VLOOKUP(INPUTS!$C$4,UNIT_PARAMS!$A$4:$H$8,4,0)-1)*0.25),0.99)</f>
        <v>0.59393428571428575</v>
      </c>
      <c r="C36" s="45" t="str">
        <f>IF(B36&gt;=0.7,"HIGH RISK",IF(B36&gt;=0.45,"MODERATE","LOW RISK"))</f>
        <v>MODERATE</v>
      </c>
      <c r="D36" s="62">
        <f>VLOOKUP(INPUTS!$C$4,UNIT_PARAMS!$A$4:$H$8,3,0)*10*VLOOKUP(INPUTS!$C$4,UNIT_PARAMS!$A$4:$H$8,6,0)</f>
        <v>12621.4</v>
      </c>
    </row>
    <row r="37" spans="1:8" x14ac:dyDescent="0.35">
      <c r="A37" s="69" t="s">
        <v>180</v>
      </c>
      <c r="B37" s="68">
        <f>MIN((INPUTS!$C$7/120*0.3)+(INPUTS!$C$8/10*0.2)+(INPUTS!$C$11/25*0.2)+0.2+(INPUTS!$C$13/7*0.15)+((VLOOKUP(INPUTS!$C$4,UNIT_PARAMS!$A$4:$H$8,4,0)-1)*0.25),0.99)</f>
        <v>0.6639342857142857</v>
      </c>
      <c r="C37" s="69" t="str">
        <f>IF(B37&gt;=0.7,"HIGH RISK",IF(B37&gt;=0.45,"MODERATE","LOW RISK"))</f>
        <v>MODERATE</v>
      </c>
      <c r="D37" s="72">
        <f>VLOOKUP(INPUTS!$C$4,UNIT_PARAMS!$A$4:$H$8,3,0)*12*VLOOKUP(INPUTS!$C$4,UNIT_PARAMS!$A$4:$H$8,6,0)</f>
        <v>15145.679999999998</v>
      </c>
    </row>
    <row r="39" spans="1:8" x14ac:dyDescent="0.35">
      <c r="A39" s="35" t="s">
        <v>181</v>
      </c>
      <c r="B39" s="9"/>
      <c r="C39" s="9"/>
      <c r="D39" s="9"/>
      <c r="E39" s="9"/>
      <c r="F39" s="9"/>
      <c r="G39" s="9"/>
      <c r="H39" s="9"/>
    </row>
    <row r="40" spans="1:8" ht="28" customHeight="1" x14ac:dyDescent="0.35">
      <c r="A40" s="73" t="s">
        <v>182</v>
      </c>
      <c r="B40" s="73"/>
      <c r="C40" s="73"/>
      <c r="D40" s="73"/>
      <c r="E40" s="73"/>
      <c r="F40" s="73"/>
      <c r="G40" s="73"/>
      <c r="H40" s="73"/>
    </row>
    <row r="41" spans="1:8" ht="28" customHeight="1" x14ac:dyDescent="0.35">
      <c r="A41" s="74" t="s">
        <v>183</v>
      </c>
      <c r="B41" s="74"/>
      <c r="C41" s="74"/>
      <c r="D41" s="74"/>
      <c r="E41" s="74"/>
      <c r="F41" s="74"/>
      <c r="G41" s="74"/>
      <c r="H41" s="74"/>
    </row>
    <row r="42" spans="1:8" ht="28" customHeight="1" x14ac:dyDescent="0.35">
      <c r="A42" s="73" t="s">
        <v>184</v>
      </c>
      <c r="B42" s="73"/>
      <c r="C42" s="73"/>
      <c r="D42" s="73"/>
      <c r="E42" s="73"/>
      <c r="F42" s="73"/>
      <c r="G42" s="73"/>
      <c r="H42" s="73"/>
    </row>
    <row r="43" spans="1:8" ht="28" customHeight="1" x14ac:dyDescent="0.35">
      <c r="A43" s="74" t="s">
        <v>185</v>
      </c>
      <c r="B43" s="74"/>
      <c r="C43" s="74"/>
      <c r="D43" s="74"/>
      <c r="E43" s="74"/>
      <c r="F43" s="74"/>
      <c r="G43" s="74"/>
      <c r="H43" s="74"/>
    </row>
    <row r="44" spans="1:8" ht="28" customHeight="1" x14ac:dyDescent="0.35">
      <c r="A44" s="73" t="s">
        <v>186</v>
      </c>
      <c r="B44" s="73"/>
      <c r="C44" s="73"/>
      <c r="D44" s="73"/>
      <c r="E44" s="73"/>
      <c r="F44" s="73"/>
      <c r="G44" s="73"/>
      <c r="H44" s="73"/>
    </row>
    <row r="46" spans="1:8" ht="28" customHeight="1" x14ac:dyDescent="0.35">
      <c r="A46" s="52" t="s">
        <v>139</v>
      </c>
      <c r="B46" s="52"/>
      <c r="C46" s="52"/>
      <c r="D46" s="52"/>
      <c r="E46" s="52"/>
      <c r="F46" s="52"/>
      <c r="G46" s="52"/>
      <c r="H46" s="52"/>
    </row>
  </sheetData>
  <mergeCells count="9">
    <mergeCell ref="A42:H42"/>
    <mergeCell ref="A43:H43"/>
    <mergeCell ref="A44:H44"/>
    <mergeCell ref="A46:H46"/>
    <mergeCell ref="A1:H1"/>
    <mergeCell ref="A2:H2"/>
    <mergeCell ref="A5:H5"/>
    <mergeCell ref="A40:H40"/>
    <mergeCell ref="A41:H41"/>
  </mergeCells>
  <conditionalFormatting sqref="C9:C18">
    <cfRule type="containsText" dxfId="21" priority="1" operator="containsText" text="HIGH RISK">
      <formula>NOT(ISERROR(SEARCH("HIGH RISK",C9)))</formula>
    </cfRule>
  </conditionalFormatting>
  <conditionalFormatting sqref="C9:C18">
    <cfRule type="containsText" dxfId="20" priority="2" operator="containsText" text="MODERATE">
      <formula>NOT(ISERROR(SEARCH("MODERATE",C9)))</formula>
    </cfRule>
  </conditionalFormatting>
  <conditionalFormatting sqref="C9:C18">
    <cfRule type="containsText" dxfId="19" priority="3" operator="containsText" text="LOW RISK">
      <formula>NOT(ISERROR(SEARCH("LOW RISK",C9)))</formula>
    </cfRule>
  </conditionalFormatting>
  <conditionalFormatting sqref="C22:C31">
    <cfRule type="containsText" dxfId="18" priority="4" operator="containsText" text="HIGH RISK">
      <formula>NOT(ISERROR(SEARCH("HIGH RISK",C22)))</formula>
    </cfRule>
  </conditionalFormatting>
  <conditionalFormatting sqref="C22:C31">
    <cfRule type="containsText" dxfId="17" priority="5" operator="containsText" text="MODERATE">
      <formula>NOT(ISERROR(SEARCH("MODERATE",C22)))</formula>
    </cfRule>
  </conditionalFormatting>
  <conditionalFormatting sqref="C22:C31">
    <cfRule type="containsText" dxfId="16" priority="6" operator="containsText" text="LOW RISK">
      <formula>NOT(ISERROR(SEARCH("LOW RISK",C22)))</formula>
    </cfRule>
  </conditionalFormatting>
  <conditionalFormatting sqref="C35:C37">
    <cfRule type="containsText" dxfId="15" priority="7" operator="containsText" text="HIGH RISK">
      <formula>NOT(ISERROR(SEARCH("HIGH RISK",C35)))</formula>
    </cfRule>
  </conditionalFormatting>
  <conditionalFormatting sqref="C35:C37">
    <cfRule type="containsText" dxfId="14" priority="8" operator="containsText" text="MODERATE">
      <formula>NOT(ISERROR(SEARCH("MODERATE",C35)))</formula>
    </cfRule>
  </conditionalFormatting>
  <conditionalFormatting sqref="C35:C37">
    <cfRule type="containsText" dxfId="13" priority="9" operator="containsText" text="LOW RISK">
      <formula>NOT(ISERROR(SEARCH("LOW RISK",C35)))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D7EBA-8F1B-42BB-AE56-04358FADFE60}">
  <sheetPr>
    <pageSetUpPr fitToPage="1"/>
  </sheetPr>
  <dimension ref="A1:H40"/>
  <sheetViews>
    <sheetView tabSelected="1" zoomScaleNormal="100" workbookViewId="0">
      <selection activeCell="C21" sqref="C21"/>
    </sheetView>
  </sheetViews>
  <sheetFormatPr defaultRowHeight="14.5" x14ac:dyDescent="0.35"/>
  <cols>
    <col min="1" max="8" width="17.81640625" customWidth="1"/>
  </cols>
  <sheetData>
    <row r="1" spans="1:8" ht="30" customHeight="1" x14ac:dyDescent="0.35">
      <c r="A1" s="75" t="s">
        <v>187</v>
      </c>
      <c r="B1" s="75"/>
      <c r="C1" s="75"/>
      <c r="D1" s="75"/>
      <c r="E1" s="75"/>
      <c r="F1" s="75"/>
      <c r="G1" s="75"/>
      <c r="H1" s="75"/>
    </row>
    <row r="2" spans="1:8" ht="20" customHeight="1" x14ac:dyDescent="0.35">
      <c r="A2" s="76" t="s">
        <v>188</v>
      </c>
      <c r="B2" s="76"/>
      <c r="C2" s="76"/>
      <c r="D2" s="76"/>
      <c r="E2" s="76"/>
      <c r="F2" s="76"/>
      <c r="G2" s="76"/>
      <c r="H2" s="76"/>
    </row>
    <row r="3" spans="1:8" ht="18" customHeight="1" x14ac:dyDescent="0.35">
      <c r="A3" s="77" t="s">
        <v>189</v>
      </c>
      <c r="B3" s="77"/>
      <c r="C3" s="77"/>
      <c r="D3" s="77"/>
      <c r="E3" s="77"/>
      <c r="F3" s="77"/>
      <c r="G3" s="77"/>
      <c r="H3" s="77"/>
    </row>
    <row r="5" spans="1:8" x14ac:dyDescent="0.35">
      <c r="A5" s="78" t="s">
        <v>190</v>
      </c>
      <c r="B5" s="78"/>
      <c r="C5" s="78"/>
      <c r="D5" s="78"/>
      <c r="E5" s="78"/>
      <c r="F5" s="78"/>
      <c r="G5" s="78"/>
      <c r="H5" s="78"/>
    </row>
    <row r="6" spans="1:8" x14ac:dyDescent="0.35">
      <c r="A6" s="22" t="s">
        <v>191</v>
      </c>
      <c r="B6" s="22" t="s">
        <v>172</v>
      </c>
      <c r="C6" s="22" t="s">
        <v>105</v>
      </c>
      <c r="D6" s="22" t="s">
        <v>192</v>
      </c>
      <c r="E6" s="22" t="s">
        <v>149</v>
      </c>
      <c r="F6" s="22" t="s">
        <v>193</v>
      </c>
      <c r="G6" s="22" t="s">
        <v>164</v>
      </c>
      <c r="H6" s="22" t="s">
        <v>194</v>
      </c>
    </row>
    <row r="7" spans="1:8" ht="30" customHeight="1" x14ac:dyDescent="0.45">
      <c r="A7" s="83" t="str">
        <f>INPUTS!C4</f>
        <v>ED</v>
      </c>
      <c r="B7" s="84">
        <f>BURNOUT_INDEX!C24</f>
        <v>0.65001428571428577</v>
      </c>
      <c r="C7" s="83" t="str">
        <f>BURNOUT_INDEX!C25</f>
        <v>MODERATE</v>
      </c>
      <c r="D7" s="85">
        <f>DEMAND_FORECAST!G23</f>
        <v>28</v>
      </c>
      <c r="E7" s="86">
        <f>COST_OPT!F19</f>
        <v>17210.999999999996</v>
      </c>
      <c r="F7" s="86">
        <f>COST_OPT!C39</f>
        <v>7001434.7999999998</v>
      </c>
      <c r="G7" s="86">
        <f>COST_OPT!C41</f>
        <v>722861.99999999988</v>
      </c>
      <c r="H7" s="86">
        <f>COST_OPT!C43</f>
        <v>227185.19999999995</v>
      </c>
    </row>
    <row r="9" spans="1:8" x14ac:dyDescent="0.35">
      <c r="A9" s="78" t="s">
        <v>195</v>
      </c>
      <c r="B9" s="78"/>
      <c r="C9" s="78"/>
      <c r="D9" s="78"/>
      <c r="E9" s="78" t="s">
        <v>199</v>
      </c>
      <c r="F9" s="78"/>
      <c r="G9" s="78"/>
      <c r="H9" s="78"/>
    </row>
    <row r="10" spans="1:8" x14ac:dyDescent="0.35">
      <c r="A10" s="22" t="s">
        <v>91</v>
      </c>
      <c r="B10" s="22" t="s">
        <v>92</v>
      </c>
      <c r="C10" s="22" t="s">
        <v>93</v>
      </c>
      <c r="D10" s="21" t="s">
        <v>196</v>
      </c>
      <c r="E10" s="22" t="s">
        <v>110</v>
      </c>
      <c r="F10" s="22" t="s">
        <v>200</v>
      </c>
      <c r="G10" s="22" t="s">
        <v>149</v>
      </c>
      <c r="H10" s="22" t="s">
        <v>160</v>
      </c>
    </row>
    <row r="11" spans="1:8" x14ac:dyDescent="0.35">
      <c r="A11" s="42" t="s">
        <v>95</v>
      </c>
      <c r="B11" s="43">
        <f>BURNOUT_INDEX!B14</f>
        <v>0.3</v>
      </c>
      <c r="C11" s="43">
        <f>BURNOUT_INDEX!C14</f>
        <v>0.56666666666666665</v>
      </c>
      <c r="D11" s="89">
        <f>BURNOUT_INDEX!D14</f>
        <v>0.16999999999999998</v>
      </c>
      <c r="E11" s="42" t="s">
        <v>118</v>
      </c>
      <c r="F11" s="44">
        <f>COST_OPT!C24</f>
        <v>27</v>
      </c>
      <c r="G11" s="62">
        <f>COST_OPT!D24</f>
        <v>18587.879999999997</v>
      </c>
      <c r="H11" s="62">
        <f>COST_OPT!F24</f>
        <v>557636.39999999991</v>
      </c>
    </row>
    <row r="12" spans="1:8" x14ac:dyDescent="0.35">
      <c r="A12" s="42" t="s">
        <v>197</v>
      </c>
      <c r="B12" s="43">
        <f>BURNOUT_INDEX!B15</f>
        <v>0.2</v>
      </c>
      <c r="C12" s="43">
        <f>BURNOUT_INDEX!C15</f>
        <v>0.6</v>
      </c>
      <c r="D12" s="89">
        <f>BURNOUT_INDEX!D15</f>
        <v>0.12</v>
      </c>
      <c r="E12" s="42" t="s">
        <v>119</v>
      </c>
      <c r="F12" s="44">
        <f>COST_OPT!C25</f>
        <v>29</v>
      </c>
      <c r="G12" s="62">
        <f>COST_OPT!D25</f>
        <v>19964.759999999998</v>
      </c>
      <c r="H12" s="62">
        <f>COST_OPT!F25</f>
        <v>598942.79999999993</v>
      </c>
    </row>
    <row r="13" spans="1:8" x14ac:dyDescent="0.35">
      <c r="A13" s="42" t="s">
        <v>97</v>
      </c>
      <c r="B13" s="43">
        <f>BURNOUT_INDEX!B16</f>
        <v>0.2</v>
      </c>
      <c r="C13" s="43">
        <f>BURNOUT_INDEX!C16</f>
        <v>0.36</v>
      </c>
      <c r="D13" s="89">
        <f>BURNOUT_INDEX!D16</f>
        <v>7.1999999999999995E-2</v>
      </c>
      <c r="E13" s="42" t="s">
        <v>120</v>
      </c>
      <c r="F13" s="44">
        <f>COST_OPT!C26</f>
        <v>25</v>
      </c>
      <c r="G13" s="62">
        <f>COST_OPT!D26</f>
        <v>17211</v>
      </c>
      <c r="H13" s="62">
        <f>COST_OPT!F26</f>
        <v>516330</v>
      </c>
    </row>
    <row r="14" spans="1:8" x14ac:dyDescent="0.35">
      <c r="A14" s="42" t="s">
        <v>98</v>
      </c>
      <c r="B14" s="43">
        <f>BURNOUT_INDEX!B17</f>
        <v>0.15</v>
      </c>
      <c r="C14" s="43">
        <f>BURNOUT_INDEX!C17</f>
        <v>1</v>
      </c>
      <c r="D14" s="89">
        <f>BURNOUT_INDEX!D17</f>
        <v>0.15</v>
      </c>
      <c r="E14" s="42" t="s">
        <v>121</v>
      </c>
      <c r="F14" s="44">
        <f>COST_OPT!C27</f>
        <v>24</v>
      </c>
      <c r="G14" s="62">
        <f>COST_OPT!D27</f>
        <v>16522.559999999998</v>
      </c>
      <c r="H14" s="62">
        <f>COST_OPT!F27</f>
        <v>495676.79999999993</v>
      </c>
    </row>
    <row r="15" spans="1:8" x14ac:dyDescent="0.35">
      <c r="A15" s="42" t="s">
        <v>99</v>
      </c>
      <c r="B15" s="43">
        <f>BURNOUT_INDEX!B18</f>
        <v>0.15</v>
      </c>
      <c r="C15" s="43">
        <f>BURNOUT_INDEX!C18</f>
        <v>0.5714285714285714</v>
      </c>
      <c r="D15" s="89">
        <f>BURNOUT_INDEX!D18</f>
        <v>8.5714285714285701E-2</v>
      </c>
      <c r="E15" s="42" t="s">
        <v>122</v>
      </c>
      <c r="F15" s="44">
        <f>COST_OPT!C28</f>
        <v>25</v>
      </c>
      <c r="G15" s="62">
        <f>COST_OPT!D28</f>
        <v>17211</v>
      </c>
      <c r="H15" s="62">
        <f>COST_OPT!F28</f>
        <v>516330</v>
      </c>
    </row>
    <row r="16" spans="1:8" x14ac:dyDescent="0.35">
      <c r="A16" s="64" t="s">
        <v>198</v>
      </c>
      <c r="B16" s="87">
        <f>BURNOUT_INDEX!B19</f>
        <v>1</v>
      </c>
      <c r="C16" s="88"/>
      <c r="D16" s="90">
        <f>SUM(D11:D15)</f>
        <v>0.59771428571428575</v>
      </c>
      <c r="E16" s="42" t="s">
        <v>123</v>
      </c>
      <c r="F16" s="44">
        <f>COST_OPT!C29</f>
        <v>28</v>
      </c>
      <c r="G16" s="62">
        <f>COST_OPT!D29</f>
        <v>19276.32</v>
      </c>
      <c r="H16" s="62">
        <f>COST_OPT!F29</f>
        <v>578289.6</v>
      </c>
    </row>
    <row r="17" spans="1:8" x14ac:dyDescent="0.35">
      <c r="E17" s="42" t="s">
        <v>124</v>
      </c>
      <c r="F17" s="44">
        <f>COST_OPT!C30</f>
        <v>32</v>
      </c>
      <c r="G17" s="62">
        <f>COST_OPT!D30</f>
        <v>22030.079999999998</v>
      </c>
      <c r="H17" s="62">
        <f>COST_OPT!F30</f>
        <v>660902.39999999991</v>
      </c>
    </row>
    <row r="18" spans="1:8" x14ac:dyDescent="0.35">
      <c r="E18" s="42" t="s">
        <v>125</v>
      </c>
      <c r="F18" s="44">
        <f>COST_OPT!C31</f>
        <v>34</v>
      </c>
      <c r="G18" s="62">
        <f>COST_OPT!D31</f>
        <v>23406.959999999999</v>
      </c>
      <c r="H18" s="62">
        <f>COST_OPT!F31</f>
        <v>702208.79999999993</v>
      </c>
    </row>
    <row r="19" spans="1:8" x14ac:dyDescent="0.35">
      <c r="E19" s="42" t="s">
        <v>126</v>
      </c>
      <c r="F19" s="44">
        <f>COST_OPT!C32</f>
        <v>26</v>
      </c>
      <c r="G19" s="62">
        <f>COST_OPT!D32</f>
        <v>17899.439999999999</v>
      </c>
      <c r="H19" s="62">
        <f>COST_OPT!F32</f>
        <v>536983.19999999995</v>
      </c>
    </row>
    <row r="20" spans="1:8" x14ac:dyDescent="0.35">
      <c r="E20" s="42" t="s">
        <v>127</v>
      </c>
      <c r="F20" s="44">
        <f>COST_OPT!C33</f>
        <v>25</v>
      </c>
      <c r="G20" s="62">
        <f>COST_OPT!D33</f>
        <v>17211</v>
      </c>
      <c r="H20" s="62">
        <f>COST_OPT!F33</f>
        <v>516330</v>
      </c>
    </row>
    <row r="21" spans="1:8" x14ac:dyDescent="0.35">
      <c r="E21" s="42" t="s">
        <v>128</v>
      </c>
      <c r="F21" s="44">
        <f>COST_OPT!C34</f>
        <v>29</v>
      </c>
      <c r="G21" s="62">
        <f>COST_OPT!D34</f>
        <v>19964.759999999998</v>
      </c>
      <c r="H21" s="62">
        <f>COST_OPT!F34</f>
        <v>598942.79999999993</v>
      </c>
    </row>
    <row r="22" spans="1:8" x14ac:dyDescent="0.35">
      <c r="E22" s="42" t="s">
        <v>129</v>
      </c>
      <c r="F22" s="44">
        <f>COST_OPT!C35</f>
        <v>35</v>
      </c>
      <c r="G22" s="62">
        <f>COST_OPT!D35</f>
        <v>24095.399999999998</v>
      </c>
      <c r="H22" s="62">
        <f>COST_OPT!F35</f>
        <v>722861.99999999988</v>
      </c>
    </row>
    <row r="23" spans="1:8" x14ac:dyDescent="0.35">
      <c r="E23" s="64" t="s">
        <v>201</v>
      </c>
      <c r="F23" s="91">
        <f>ROUND(AVERAGE(F11:F22),0)</f>
        <v>28</v>
      </c>
      <c r="G23" s="92">
        <f>ROUND(AVERAGE(G11:G22),0)</f>
        <v>19448</v>
      </c>
      <c r="H23" s="92">
        <f>SUM(H11:H22)</f>
        <v>7001434.7999999998</v>
      </c>
    </row>
    <row r="25" spans="1:8" x14ac:dyDescent="0.35">
      <c r="A25" s="78" t="s">
        <v>202</v>
      </c>
      <c r="B25" s="78"/>
      <c r="C25" s="78"/>
      <c r="D25" s="78"/>
      <c r="E25" s="78"/>
      <c r="F25" s="78"/>
      <c r="G25" s="78"/>
      <c r="H25" s="78"/>
    </row>
    <row r="26" spans="1:8" x14ac:dyDescent="0.35">
      <c r="A26" s="22" t="s">
        <v>203</v>
      </c>
      <c r="B26" s="22" t="s">
        <v>204</v>
      </c>
      <c r="C26" s="22" t="s">
        <v>205</v>
      </c>
      <c r="D26" s="22" t="s">
        <v>206</v>
      </c>
      <c r="E26" s="22" t="s">
        <v>122</v>
      </c>
      <c r="F26" s="22" t="s">
        <v>207</v>
      </c>
      <c r="G26" s="22" t="s">
        <v>208</v>
      </c>
      <c r="H26" s="22" t="s">
        <v>209</v>
      </c>
    </row>
    <row r="27" spans="1:8" x14ac:dyDescent="0.35">
      <c r="A27" s="94" t="str">
        <f>DEMAND_FORECAST!H11</f>
        <v>OK</v>
      </c>
      <c r="B27" s="94" t="str">
        <f>DEMAND_FORECAST!H12</f>
        <v>⚠ SURGE</v>
      </c>
      <c r="C27" s="94" t="str">
        <f>DEMAND_FORECAST!H13</f>
        <v>OK</v>
      </c>
      <c r="D27" s="94" t="str">
        <f>DEMAND_FORECAST!H14</f>
        <v>OK</v>
      </c>
      <c r="E27" s="93" t="str">
        <f>DEMAND_FORECAST!H15</f>
        <v>OK</v>
      </c>
      <c r="F27" s="93" t="str">
        <f>DEMAND_FORECAST!H16</f>
        <v>OK</v>
      </c>
      <c r="G27" s="93" t="str">
        <f>DEMAND_FORECAST!H17</f>
        <v>⚠ SURGE</v>
      </c>
      <c r="H27" s="93" t="str">
        <f>DEMAND_FORECAST!H18</f>
        <v>⚠ SURGE</v>
      </c>
    </row>
    <row r="28" spans="1:8" x14ac:dyDescent="0.35">
      <c r="A28" s="22" t="s">
        <v>210</v>
      </c>
      <c r="B28" s="22" t="s">
        <v>211</v>
      </c>
      <c r="C28" s="22" t="s">
        <v>212</v>
      </c>
      <c r="D28" s="22" t="s">
        <v>213</v>
      </c>
    </row>
    <row r="29" spans="1:8" x14ac:dyDescent="0.35">
      <c r="A29" s="93" t="str">
        <f>DEMAND_FORECAST!H19</f>
        <v>OK</v>
      </c>
      <c r="B29" s="93" t="str">
        <f>DEMAND_FORECAST!H20</f>
        <v>OK</v>
      </c>
      <c r="C29" s="93" t="str">
        <f>DEMAND_FORECAST!H21</f>
        <v>⚠ SURGE</v>
      </c>
      <c r="D29" s="93" t="str">
        <f>DEMAND_FORECAST!H22</f>
        <v>⚠ SURGE</v>
      </c>
    </row>
    <row r="31" spans="1:8" x14ac:dyDescent="0.35">
      <c r="A31" s="78" t="s">
        <v>214</v>
      </c>
      <c r="B31" s="78"/>
      <c r="C31" s="78"/>
      <c r="D31" s="78"/>
      <c r="E31" s="78"/>
      <c r="F31" s="78"/>
      <c r="G31" s="78"/>
      <c r="H31" s="78"/>
    </row>
    <row r="32" spans="1:8" ht="40" customHeight="1" x14ac:dyDescent="0.35">
      <c r="A32" s="79" t="str">
        <f>IF(BURNOUT_INDEX!C25="HIGH RISK","⚠ CRITICAL: "&amp;INPUTS!C4&amp;" unit requires immediate staffing intervention. Burnout score "&amp;TEXT(BURNOUT_INDEX!C24,"0.00")&amp;" exceeds 0.70 threshold. Recommend mandatory recovery days and overtime caps.",IF(BURNOUT_INDEX!C25="MODERATE","⚡ MONITOR: "&amp;INPUTS!C4&amp;" unit approaching elevated burnout risk at "&amp;TEXT(BURNOUT_INDEX!C24,"0.00")&amp;". Recommend proactive roster review and wellness check-ins.","✓ STABLE: "&amp;INPUTS!C4&amp;" unit burnout risk "&amp;TEXT(BURNOUT_INDEX!C24,"0.00")&amp;" is within acceptable range. Continue current scheduling model."))</f>
        <v>⚡ MONITOR: ED unit approaching elevated burnout risk at 0.65. Recommend proactive roster review and wellness check-ins.</v>
      </c>
      <c r="B32" s="79"/>
      <c r="C32" s="79"/>
      <c r="D32" s="79"/>
      <c r="E32" s="79"/>
      <c r="F32" s="79"/>
      <c r="G32" s="79"/>
      <c r="H32" s="79"/>
    </row>
    <row r="33" spans="1:8" ht="40" customHeight="1" x14ac:dyDescent="0.35">
      <c r="A33" s="80" t="str">
        <f>IF(INPUTS!C11&gt;=0.15,"⚠ Sick call rate "&amp;TEXT(INPUTS!C11,"0%")&amp;" is critically high. Immediate float pool deployment and attendance incentive review required.",IF(INPUTS!C11&gt;=0.08,"⚡ Sick call rate "&amp;TEXT(INPUTS!C11,"0%")&amp;" exceeds IH 6% benchmark. Buffer staffing has been applied.","✓ Sick call rate "&amp;TEXT(INPUTS!C11,"0%")&amp;" is within acceptable range."))</f>
        <v>⚡ Sick call rate 9% exceeds IH 6% benchmark. Buffer staffing has been applied.</v>
      </c>
      <c r="B33" s="80"/>
      <c r="C33" s="80"/>
      <c r="D33" s="80"/>
      <c r="E33" s="80"/>
      <c r="F33" s="80"/>
      <c r="G33" s="80"/>
      <c r="H33" s="80"/>
    </row>
    <row r="34" spans="1:8" ht="40" customHeight="1" x14ac:dyDescent="0.35">
      <c r="A34" s="81" t="str">
        <f>IF(INPUTS!C12=12,"⚡ 12-hour shifts increase burnout risk. Consider 8-hour rotation for high-acuity periods to reduce fatigue accumulation.","✓ Current shift length of "&amp;INPUTS!C12&amp;" hours is within recommended range.")</f>
        <v>⚡ 12-hour shifts increase burnout risk. Consider 8-hour rotation for high-acuity periods to reduce fatigue accumulation.</v>
      </c>
      <c r="B34" s="81"/>
      <c r="C34" s="81"/>
      <c r="D34" s="81"/>
      <c r="E34" s="81"/>
      <c r="F34" s="81"/>
      <c r="G34" s="81"/>
      <c r="H34" s="81"/>
    </row>
    <row r="35" spans="1:8" ht="40" customHeight="1" x14ac:dyDescent="0.35">
      <c r="A35" s="80" t="str">
        <f>"💰 Total annual labour cost estimate: "&amp;TEXT(COST_OPT!C39,"$#,##0")&amp;" with peak month variance of "&amp;TEXT(COST_OPT!C43,"$#,##0")&amp;". Seasonal surge staffing strategy recommended for July, August and December."</f>
        <v>💰 Total annual labour cost estimate: $7,001,435 with peak month variance of $227,185. Seasonal surge staffing strategy recommended for July, August and December.</v>
      </c>
      <c r="B35" s="80"/>
      <c r="C35" s="80"/>
      <c r="D35" s="80"/>
      <c r="E35" s="80"/>
      <c r="F35" s="80"/>
      <c r="G35" s="80"/>
      <c r="H35" s="80"/>
    </row>
    <row r="36" spans="1:8" ht="40" customHeight="1" x14ac:dyDescent="0.35">
      <c r="A36" s="81" t="s">
        <v>215</v>
      </c>
      <c r="B36" s="81"/>
      <c r="C36" s="81"/>
      <c r="D36" s="81"/>
      <c r="E36" s="81"/>
      <c r="F36" s="81"/>
      <c r="G36" s="81"/>
      <c r="H36" s="81"/>
    </row>
    <row r="38" spans="1:8" ht="30" customHeight="1" x14ac:dyDescent="0.35">
      <c r="A38" s="82" t="s">
        <v>216</v>
      </c>
      <c r="B38" s="82"/>
      <c r="C38" s="82"/>
      <c r="D38" s="82"/>
      <c r="E38" s="82"/>
      <c r="F38" s="82"/>
      <c r="G38" s="82"/>
      <c r="H38" s="82"/>
    </row>
    <row r="39" spans="1:8" ht="28" customHeight="1" x14ac:dyDescent="0.35">
      <c r="A39" s="52" t="s">
        <v>139</v>
      </c>
      <c r="B39" s="52"/>
      <c r="C39" s="52"/>
      <c r="D39" s="52"/>
      <c r="E39" s="52"/>
      <c r="F39" s="52"/>
      <c r="G39" s="52"/>
      <c r="H39" s="52"/>
    </row>
    <row r="40" spans="1:8" ht="28" customHeight="1" x14ac:dyDescent="0.35"/>
  </sheetData>
  <mergeCells count="15">
    <mergeCell ref="A33:H33"/>
    <mergeCell ref="A34:H34"/>
    <mergeCell ref="A35:H35"/>
    <mergeCell ref="A36:H36"/>
    <mergeCell ref="A38:H38"/>
    <mergeCell ref="A39:H39"/>
    <mergeCell ref="A1:H1"/>
    <mergeCell ref="A2:H2"/>
    <mergeCell ref="A3:H3"/>
    <mergeCell ref="A5:H5"/>
    <mergeCell ref="A9:D9"/>
    <mergeCell ref="E9:H9"/>
    <mergeCell ref="A25:H25"/>
    <mergeCell ref="A31:H31"/>
    <mergeCell ref="A32:H32"/>
  </mergeCells>
  <conditionalFormatting sqref="B7">
    <cfRule type="cellIs" dxfId="12" priority="1" operator="greaterThanOrEqual">
      <formula>0.7</formula>
    </cfRule>
  </conditionalFormatting>
  <conditionalFormatting sqref="B7">
    <cfRule type="cellIs" dxfId="11" priority="2" operator="greaterThanOrEqual">
      <formula>0.45</formula>
    </cfRule>
  </conditionalFormatting>
  <conditionalFormatting sqref="B7">
    <cfRule type="cellIs" dxfId="10" priority="3" operator="lessThan">
      <formula>0.45</formula>
    </cfRule>
  </conditionalFormatting>
  <conditionalFormatting sqref="C7">
    <cfRule type="containsText" dxfId="9" priority="4" operator="containsText" text="HIGH RISK">
      <formula>NOT(ISERROR(SEARCH("HIGH RISK",C7)))</formula>
    </cfRule>
  </conditionalFormatting>
  <conditionalFormatting sqref="C7">
    <cfRule type="containsText" dxfId="8" priority="5" operator="containsText" text="MODERATE">
      <formula>NOT(ISERROR(SEARCH("MODERATE",C7)))</formula>
    </cfRule>
  </conditionalFormatting>
  <conditionalFormatting sqref="C7">
    <cfRule type="containsText" dxfId="7" priority="6" operator="containsText" text="LOW RISK">
      <formula>NOT(ISERROR(SEARCH("LOW RISK",C7)))</formula>
    </cfRule>
  </conditionalFormatting>
  <conditionalFormatting sqref="A32">
    <cfRule type="containsText" dxfId="6" priority="7" operator="containsText" text="CRITICAL">
      <formula>NOT(ISERROR(SEARCH("CRITICAL",A32)))</formula>
    </cfRule>
  </conditionalFormatting>
  <conditionalFormatting sqref="A32">
    <cfRule type="containsText" dxfId="5" priority="8" operator="containsText" text="MONITOR">
      <formula>NOT(ISERROR(SEARCH("MONITOR",A32)))</formula>
    </cfRule>
  </conditionalFormatting>
  <conditionalFormatting sqref="A32">
    <cfRule type="containsText" dxfId="4" priority="9" operator="containsText" text="STABLE">
      <formula>NOT(ISERROR(SEARCH("STABLE",A32)))</formula>
    </cfRule>
  </conditionalFormatting>
  <conditionalFormatting sqref="A27:H27">
    <cfRule type="containsText" dxfId="3" priority="10" operator="containsText" text="SURGE">
      <formula>NOT(ISERROR(SEARCH("SURGE",A27)))</formula>
    </cfRule>
  </conditionalFormatting>
  <conditionalFormatting sqref="A27:H27">
    <cfRule type="containsText" dxfId="2" priority="11" operator="containsText" text="OK">
      <formula>NOT(ISERROR(SEARCH("OK",A27)))</formula>
    </cfRule>
  </conditionalFormatting>
  <conditionalFormatting sqref="A29:D29">
    <cfRule type="containsText" dxfId="1" priority="12" operator="containsText" text="SURGE">
      <formula>NOT(ISERROR(SEARCH("SURGE",A29)))</formula>
    </cfRule>
  </conditionalFormatting>
  <conditionalFormatting sqref="A29:D29">
    <cfRule type="containsText" dxfId="0" priority="13" operator="containsText" text="OK">
      <formula>NOT(ISERROR(SEARCH("OK",A29)))</formula>
    </cfRule>
  </conditionalFormatting>
  <pageMargins left="0.7" right="0.7" top="0.75" bottom="0.75" header="0.3" footer="0.3"/>
  <pageSetup paperSize="0" scale="0" orientation="landscape"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INPUTS</vt:lpstr>
      <vt:lpstr>UNIT_PARAMS</vt:lpstr>
      <vt:lpstr>BURNOUT_INDEX</vt:lpstr>
      <vt:lpstr>DEMAND_FORECAST</vt:lpstr>
      <vt:lpstr>COST_OPT</vt:lpstr>
      <vt:lpstr>SENSITIVITY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Chunga, Mark</dc:creator>
  <cp:lastModifiedBy>Chunga, Mark</cp:lastModifiedBy>
  <dcterms:created xsi:type="dcterms:W3CDTF">2026-06-25T23:45:01Z</dcterms:created>
  <dcterms:modified xsi:type="dcterms:W3CDTF">2026-06-26T02:52:16Z</dcterms:modified>
</cp:coreProperties>
</file>